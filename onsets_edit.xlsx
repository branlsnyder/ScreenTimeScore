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woosnyder/Dropbox/docs-d/00_UCI_2025-2026/02_UCI_Winter_2026/Independent Study Rajna - Music 299/Constrained_PhoneGuide_Score/ScreenTimeScore/"/>
    </mc:Choice>
  </mc:AlternateContent>
  <xr:revisionPtr revIDLastSave="0" documentId="13_ncr:1_{3386BBCA-04B7-D344-A5CC-AE710CBEC174}" xr6:coauthVersionLast="47" xr6:coauthVersionMax="47" xr10:uidLastSave="{00000000-0000-0000-0000-000000000000}"/>
  <bookViews>
    <workbookView xWindow="-2160" yWindow="-23220" windowWidth="43080" windowHeight="19580" xr2:uid="{656903FE-55D6-334E-8317-D02588440573}"/>
  </bookViews>
  <sheets>
    <sheet name="on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14" i="1" s="1"/>
  <c r="M15" i="1" s="1"/>
  <c r="M21" i="1" s="1"/>
  <c r="M28" i="1" s="1"/>
  <c r="M35" i="1" s="1"/>
  <c r="J13" i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9" i="1" s="1"/>
  <c r="G13" i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D13" i="1"/>
  <c r="D14" i="1" s="1"/>
  <c r="D15" i="1" s="1"/>
  <c r="D21" i="1" s="1"/>
  <c r="D28" i="1" s="1"/>
  <c r="D35" i="1" s="1"/>
  <c r="A13" i="1"/>
  <c r="A14" i="1" s="1"/>
  <c r="A15" i="1" s="1"/>
  <c r="A21" i="1" s="1"/>
  <c r="A28" i="1" s="1"/>
  <c r="A35" i="1" s="1"/>
  <c r="P12" i="1"/>
  <c r="P13" i="1" s="1"/>
  <c r="P14" i="1" s="1"/>
  <c r="P15" i="1" s="1"/>
  <c r="P21" i="1" s="1"/>
  <c r="P28" i="1" s="1"/>
  <c r="P35" i="1" l="1"/>
  <c r="G32" i="1"/>
  <c r="G33" i="1" s="1"/>
  <c r="G34" i="1" s="1"/>
  <c r="G35" i="1" s="1"/>
  <c r="J30" i="1"/>
  <c r="J31" i="1" s="1"/>
  <c r="D38" i="1"/>
  <c r="M38" i="1"/>
  <c r="A38" i="1"/>
  <c r="J28" i="1"/>
  <c r="A39" i="1" l="1"/>
  <c r="A40" i="1" s="1"/>
  <c r="A41" i="1" s="1"/>
  <c r="A42" i="1" s="1"/>
  <c r="A43" i="1" s="1"/>
  <c r="A44" i="1" s="1"/>
  <c r="M39" i="1"/>
  <c r="M40" i="1" s="1"/>
  <c r="M41" i="1" s="1"/>
  <c r="M42" i="1" s="1"/>
  <c r="M43" i="1" s="1"/>
  <c r="M44" i="1" s="1"/>
  <c r="M50" i="1" s="1"/>
  <c r="M57" i="1" s="1"/>
  <c r="M62" i="1" s="1"/>
  <c r="M64" i="1" s="1"/>
  <c r="M69" i="1" s="1"/>
  <c r="D39" i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P38" i="1"/>
  <c r="P39" i="1" s="1"/>
  <c r="P40" i="1" s="1"/>
  <c r="P41" i="1" s="1"/>
  <c r="P42" i="1" s="1"/>
  <c r="P43" i="1" s="1"/>
  <c r="P44" i="1" s="1"/>
  <c r="P50" i="1" s="1"/>
  <c r="P57" i="1" s="1"/>
  <c r="P62" i="1" s="1"/>
  <c r="P64" i="1" s="1"/>
  <c r="P69" i="1" s="1"/>
  <c r="P70" i="1" s="1"/>
  <c r="P72" i="1" s="1"/>
  <c r="P73" i="1" s="1"/>
  <c r="P74" i="1" s="1"/>
  <c r="P75" i="1" s="1"/>
  <c r="J32" i="1"/>
  <c r="G38" i="1"/>
  <c r="J34" i="1"/>
  <c r="J35" i="1" s="1"/>
  <c r="J33" i="1"/>
  <c r="G39" i="1" l="1"/>
  <c r="G40" i="1" s="1"/>
  <c r="G41" i="1" s="1"/>
  <c r="G42" i="1" s="1"/>
  <c r="G43" i="1" s="1"/>
  <c r="G44" i="1" s="1"/>
  <c r="G69" i="1"/>
  <c r="A69" i="1"/>
  <c r="M70" i="1"/>
  <c r="J69" i="1"/>
  <c r="D69" i="1"/>
  <c r="J70" i="1"/>
  <c r="G70" i="1"/>
  <c r="D70" i="1"/>
  <c r="J36" i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G45" i="1" l="1"/>
  <c r="G46" i="1" s="1"/>
  <c r="G47" i="1" s="1"/>
  <c r="G48" i="1" s="1"/>
  <c r="G49" i="1" s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M72" i="1"/>
  <c r="A70" i="1"/>
  <c r="M73" i="1" l="1"/>
  <c r="M74" i="1" s="1"/>
  <c r="M75" i="1" s="1"/>
  <c r="G72" i="1"/>
  <c r="G73" i="1" s="1"/>
  <c r="G74" i="1" s="1"/>
  <c r="G75" i="1" s="1"/>
  <c r="D72" i="1"/>
  <c r="A72" i="1"/>
  <c r="A73" i="1" s="1"/>
  <c r="A74" i="1" s="1"/>
  <c r="A75" i="1" s="1"/>
  <c r="J72" i="1"/>
  <c r="J73" i="1" s="1"/>
  <c r="J74" i="1" s="1"/>
  <c r="J75" i="1" s="1"/>
  <c r="G50" i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4" i="1" s="1"/>
  <c r="A50" i="1"/>
  <c r="D71" i="1" l="1"/>
  <c r="D73" i="1"/>
  <c r="D74" i="1" s="1"/>
  <c r="D75" i="1" s="1"/>
</calcChain>
</file>

<file path=xl/sharedStrings.xml><?xml version="1.0" encoding="utf-8"?>
<sst xmlns="http://schemas.openxmlformats.org/spreadsheetml/2006/main" count="563" uniqueCount="84">
  <si>
    <t>onset_ms_1</t>
  </si>
  <si>
    <t>state_1</t>
  </si>
  <si>
    <t>text_1</t>
  </si>
  <si>
    <t>onset_ms_2</t>
  </si>
  <si>
    <t>state_2</t>
  </si>
  <si>
    <t>text_2</t>
  </si>
  <si>
    <t>onset_ms_3</t>
  </si>
  <si>
    <t>state_3</t>
  </si>
  <si>
    <t>text_3</t>
  </si>
  <si>
    <t>onset_ms_4</t>
  </si>
  <si>
    <t>state_4</t>
  </si>
  <si>
    <t>text_4</t>
  </si>
  <si>
    <t>onset_ms_5</t>
  </si>
  <si>
    <t>state_5</t>
  </si>
  <si>
    <t>text_5</t>
  </si>
  <si>
    <t>measureNum</t>
  </si>
  <si>
    <t>measureDur_s</t>
  </si>
  <si>
    <t>phaseFactor</t>
  </si>
  <si>
    <t>phaseBaseDur</t>
  </si>
  <si>
    <t>phoneDown</t>
  </si>
  <si>
    <t>Begin in 10</t>
  </si>
  <si>
    <t>Begin in 9</t>
  </si>
  <si>
    <t>Begin in 8</t>
  </si>
  <si>
    <t>Begin in 7</t>
  </si>
  <si>
    <t>Begin in 6</t>
  </si>
  <si>
    <t>Begin in 5</t>
  </si>
  <si>
    <t>Begin in 4</t>
  </si>
  <si>
    <t>Begin in 3</t>
  </si>
  <si>
    <t>Begin in 2</t>
  </si>
  <si>
    <t>Begin in 1</t>
  </si>
  <si>
    <t>Tacet 24"</t>
  </si>
  <si>
    <t>phoneUp</t>
  </si>
  <si>
    <t>Phone Up (4")</t>
  </si>
  <si>
    <t>Phone Up (4.05")</t>
  </si>
  <si>
    <t>Phone Down (4")</t>
  </si>
  <si>
    <t>Phone Down (4.05")</t>
  </si>
  <si>
    <t>Tacet 28"</t>
  </si>
  <si>
    <t>Phone Up (hold!)</t>
  </si>
  <si>
    <t>Tacet 10"</t>
  </si>
  <si>
    <t>Phone Down (get ready for INST)</t>
  </si>
  <si>
    <t>PICK UP INST.</t>
  </si>
  <si>
    <t>needs to be at least 6 seconds</t>
  </si>
  <si>
    <t>Tacet 35"</t>
  </si>
  <si>
    <t>Tacet 21"</t>
  </si>
  <si>
    <t>Tacet 4"</t>
  </si>
  <si>
    <t>FREEZE! (rest)</t>
  </si>
  <si>
    <t>Tacet 2"</t>
  </si>
  <si>
    <t>PUT DOWN INST.</t>
  </si>
  <si>
    <t>Phone Up (3.95")</t>
  </si>
  <si>
    <t>Phone Down (3.95")</t>
  </si>
  <si>
    <t>Phone Down (3.9")</t>
  </si>
  <si>
    <t>Phone Up (3.9")</t>
  </si>
  <si>
    <t>Tacet 20"</t>
  </si>
  <si>
    <t>in 4" get INST.</t>
  </si>
  <si>
    <t>Tacet 15"</t>
  </si>
  <si>
    <t>bacon01</t>
  </si>
  <si>
    <t>Tacet 40"</t>
  </si>
  <si>
    <t>bacon01flash</t>
  </si>
  <si>
    <t>bacon01rise</t>
  </si>
  <si>
    <t>Tacet 6"</t>
  </si>
  <si>
    <t>bacon01flickerheavy</t>
  </si>
  <si>
    <t>bacon01flickersubtle</t>
  </si>
  <si>
    <t>Play</t>
  </si>
  <si>
    <t>Play (with flashes)</t>
  </si>
  <si>
    <t xml:space="preserve">Play </t>
  </si>
  <si>
    <t>Hold Phone Up: 10</t>
  </si>
  <si>
    <t>Hold Phone Up: 9</t>
  </si>
  <si>
    <t>Hold Phone Up: 8</t>
  </si>
  <si>
    <t>Hold Phone Up: 7</t>
  </si>
  <si>
    <t>Hold Phone Up: 6</t>
  </si>
  <si>
    <t>Hold Phone Up: 5</t>
  </si>
  <si>
    <t>Hold Phone Up: 4</t>
  </si>
  <si>
    <t>Hold Phone Up: 3</t>
  </si>
  <si>
    <t>Hold Phone Up: 2</t>
  </si>
  <si>
    <t>Hold Phone Up: 1</t>
  </si>
  <si>
    <t>Gaze at Image</t>
  </si>
  <si>
    <t>Phone Down (brief!)</t>
  </si>
  <si>
    <t>Phone Up (brief!)</t>
  </si>
  <si>
    <t>(Play, then end)</t>
  </si>
  <si>
    <t>Play (with flashes) 
(eventually fade out)</t>
  </si>
  <si>
    <t>IGNORE PHONE 
(play openly)</t>
  </si>
  <si>
    <t>Phone Up (long)</t>
  </si>
  <si>
    <t>Phone Down (3")</t>
  </si>
  <si>
    <t>Phone Up (3")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</si>
</sst>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C8EF-5282-2B42-BB2D-C2C257FF5AA3}">
  <dimension ref="A1:S75"/>
  <sheetViews>
    <sheetView tabSelected="1" topLeftCell="A13" zoomScale="120" zoomScaleNormal="120" workbookViewId="0">
      <selection activeCell="J34" sqref="J34"/>
    </sheetView>
  </sheetViews>
  <sheetFormatPr baseColWidth="10" defaultRowHeight="16" x14ac:dyDescent="0.2"/>
  <cols>
    <col min="2" max="2" width="18.83203125" bestFit="1" customWidth="1"/>
    <col min="3" max="3" width="26.6640625" bestFit="1" customWidth="1"/>
    <col min="6" max="6" width="17.83203125" bestFit="1" customWidth="1"/>
    <col min="7" max="7" width="10.83203125" customWidth="1"/>
    <col min="8" max="8" width="18.83203125" bestFit="1" customWidth="1"/>
    <col min="9" max="9" width="27.1640625" bestFit="1" customWidth="1"/>
    <col min="12" max="12" width="33.1640625" bestFit="1" customWidth="1"/>
    <col min="15" max="15" width="19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0</v>
      </c>
      <c r="B2" t="s">
        <v>19</v>
      </c>
      <c r="C2" t="s">
        <v>65</v>
      </c>
      <c r="D2">
        <v>0</v>
      </c>
      <c r="E2" t="s">
        <v>19</v>
      </c>
      <c r="F2" t="s">
        <v>20</v>
      </c>
      <c r="G2">
        <v>0</v>
      </c>
      <c r="H2" t="s">
        <v>19</v>
      </c>
      <c r="I2" t="s">
        <v>20</v>
      </c>
      <c r="J2">
        <v>0</v>
      </c>
      <c r="K2" t="s">
        <v>19</v>
      </c>
      <c r="L2" t="s">
        <v>20</v>
      </c>
      <c r="M2">
        <v>0</v>
      </c>
      <c r="N2" t="s">
        <v>19</v>
      </c>
      <c r="O2" t="s">
        <v>20</v>
      </c>
      <c r="P2">
        <v>1</v>
      </c>
      <c r="Q2">
        <v>10</v>
      </c>
      <c r="R2">
        <v>1.2500000000000001E-2</v>
      </c>
      <c r="S2">
        <v>4000</v>
      </c>
    </row>
    <row r="3" spans="1:19" x14ac:dyDescent="0.2">
      <c r="A3">
        <v>1000</v>
      </c>
      <c r="B3" t="s">
        <v>19</v>
      </c>
      <c r="C3" t="s">
        <v>66</v>
      </c>
      <c r="D3">
        <v>1000</v>
      </c>
      <c r="E3" t="s">
        <v>19</v>
      </c>
      <c r="F3" t="s">
        <v>21</v>
      </c>
      <c r="G3">
        <v>1000</v>
      </c>
      <c r="H3" t="s">
        <v>19</v>
      </c>
      <c r="I3" t="s">
        <v>21</v>
      </c>
      <c r="J3">
        <v>1000</v>
      </c>
      <c r="K3" t="s">
        <v>19</v>
      </c>
      <c r="L3" t="s">
        <v>21</v>
      </c>
      <c r="M3">
        <v>1000</v>
      </c>
      <c r="N3" t="s">
        <v>19</v>
      </c>
      <c r="O3" t="s">
        <v>21</v>
      </c>
    </row>
    <row r="4" spans="1:19" x14ac:dyDescent="0.2">
      <c r="A4">
        <v>2000</v>
      </c>
      <c r="B4" t="s">
        <v>19</v>
      </c>
      <c r="C4" t="s">
        <v>67</v>
      </c>
      <c r="D4">
        <v>2000</v>
      </c>
      <c r="E4" t="s">
        <v>19</v>
      </c>
      <c r="F4" t="s">
        <v>22</v>
      </c>
      <c r="G4">
        <v>2000</v>
      </c>
      <c r="H4" t="s">
        <v>19</v>
      </c>
      <c r="I4" t="s">
        <v>22</v>
      </c>
      <c r="J4">
        <v>2000</v>
      </c>
      <c r="K4" t="s">
        <v>19</v>
      </c>
      <c r="L4" t="s">
        <v>22</v>
      </c>
      <c r="M4">
        <v>2000</v>
      </c>
      <c r="N4" t="s">
        <v>19</v>
      </c>
      <c r="O4" t="s">
        <v>22</v>
      </c>
    </row>
    <row r="5" spans="1:19" x14ac:dyDescent="0.2">
      <c r="A5">
        <v>3000</v>
      </c>
      <c r="B5" t="s">
        <v>19</v>
      </c>
      <c r="C5" t="s">
        <v>68</v>
      </c>
      <c r="D5">
        <v>3000</v>
      </c>
      <c r="E5" t="s">
        <v>19</v>
      </c>
      <c r="F5" t="s">
        <v>23</v>
      </c>
      <c r="G5">
        <v>3000</v>
      </c>
      <c r="H5" t="s">
        <v>19</v>
      </c>
      <c r="I5" t="s">
        <v>23</v>
      </c>
      <c r="J5">
        <v>3000</v>
      </c>
      <c r="K5" t="s">
        <v>19</v>
      </c>
      <c r="L5" t="s">
        <v>23</v>
      </c>
      <c r="M5">
        <v>3000</v>
      </c>
      <c r="N5" t="s">
        <v>19</v>
      </c>
      <c r="O5" t="s">
        <v>23</v>
      </c>
    </row>
    <row r="6" spans="1:19" x14ac:dyDescent="0.2">
      <c r="A6">
        <v>4000</v>
      </c>
      <c r="B6" t="s">
        <v>19</v>
      </c>
      <c r="C6" t="s">
        <v>69</v>
      </c>
      <c r="D6">
        <v>4000</v>
      </c>
      <c r="E6" t="s">
        <v>19</v>
      </c>
      <c r="F6" t="s">
        <v>24</v>
      </c>
      <c r="G6">
        <v>4000</v>
      </c>
      <c r="H6" t="s">
        <v>19</v>
      </c>
      <c r="I6" t="s">
        <v>24</v>
      </c>
      <c r="J6">
        <v>4000</v>
      </c>
      <c r="K6" t="s">
        <v>19</v>
      </c>
      <c r="L6" t="s">
        <v>24</v>
      </c>
      <c r="M6">
        <v>4000</v>
      </c>
      <c r="N6" t="s">
        <v>19</v>
      </c>
      <c r="O6" t="s">
        <v>24</v>
      </c>
    </row>
    <row r="7" spans="1:19" x14ac:dyDescent="0.2">
      <c r="A7">
        <v>5000</v>
      </c>
      <c r="B7" t="s">
        <v>19</v>
      </c>
      <c r="C7" t="s">
        <v>70</v>
      </c>
      <c r="D7">
        <v>5000</v>
      </c>
      <c r="E7" t="s">
        <v>19</v>
      </c>
      <c r="F7" t="s">
        <v>25</v>
      </c>
      <c r="G7">
        <v>5000</v>
      </c>
      <c r="H7" t="s">
        <v>19</v>
      </c>
      <c r="I7" t="s">
        <v>25</v>
      </c>
      <c r="J7">
        <v>5000</v>
      </c>
      <c r="K7" t="s">
        <v>19</v>
      </c>
      <c r="L7" t="s">
        <v>25</v>
      </c>
      <c r="M7">
        <v>5000</v>
      </c>
      <c r="N7" t="s">
        <v>19</v>
      </c>
      <c r="O7" t="s">
        <v>25</v>
      </c>
    </row>
    <row r="8" spans="1:19" x14ac:dyDescent="0.2">
      <c r="A8">
        <v>6000</v>
      </c>
      <c r="B8" t="s">
        <v>19</v>
      </c>
      <c r="C8" t="s">
        <v>71</v>
      </c>
      <c r="D8">
        <v>6000</v>
      </c>
      <c r="E8" t="s">
        <v>19</v>
      </c>
      <c r="F8" t="s">
        <v>26</v>
      </c>
      <c r="G8">
        <v>6000</v>
      </c>
      <c r="H8" t="s">
        <v>19</v>
      </c>
      <c r="I8" t="s">
        <v>26</v>
      </c>
      <c r="J8">
        <v>6000</v>
      </c>
      <c r="K8" t="s">
        <v>19</v>
      </c>
      <c r="L8" t="s">
        <v>26</v>
      </c>
      <c r="M8">
        <v>6000</v>
      </c>
      <c r="N8" t="s">
        <v>19</v>
      </c>
      <c r="O8" t="s">
        <v>26</v>
      </c>
    </row>
    <row r="9" spans="1:19" x14ac:dyDescent="0.2">
      <c r="A9">
        <v>7000</v>
      </c>
      <c r="B9" t="s">
        <v>19</v>
      </c>
      <c r="C9" t="s">
        <v>72</v>
      </c>
      <c r="D9">
        <v>7000</v>
      </c>
      <c r="E9" t="s">
        <v>19</v>
      </c>
      <c r="F9" t="s">
        <v>27</v>
      </c>
      <c r="G9">
        <v>7000</v>
      </c>
      <c r="H9" t="s">
        <v>19</v>
      </c>
      <c r="I9" t="s">
        <v>27</v>
      </c>
      <c r="J9">
        <v>7000</v>
      </c>
      <c r="K9" t="s">
        <v>19</v>
      </c>
      <c r="L9" t="s">
        <v>27</v>
      </c>
      <c r="M9">
        <v>7000</v>
      </c>
      <c r="N9" t="s">
        <v>19</v>
      </c>
      <c r="O9" t="s">
        <v>27</v>
      </c>
    </row>
    <row r="10" spans="1:19" x14ac:dyDescent="0.2">
      <c r="A10">
        <v>8000</v>
      </c>
      <c r="B10" t="s">
        <v>19</v>
      </c>
      <c r="C10" t="s">
        <v>73</v>
      </c>
      <c r="D10">
        <v>8000</v>
      </c>
      <c r="E10" t="s">
        <v>19</v>
      </c>
      <c r="F10" t="s">
        <v>28</v>
      </c>
      <c r="G10">
        <v>8000</v>
      </c>
      <c r="H10" t="s">
        <v>19</v>
      </c>
      <c r="I10" t="s">
        <v>28</v>
      </c>
      <c r="J10">
        <v>8000</v>
      </c>
      <c r="K10" t="s">
        <v>19</v>
      </c>
      <c r="L10" t="s">
        <v>28</v>
      </c>
      <c r="M10">
        <v>8000</v>
      </c>
      <c r="N10" t="s">
        <v>19</v>
      </c>
      <c r="O10" t="s">
        <v>28</v>
      </c>
    </row>
    <row r="11" spans="1:19" x14ac:dyDescent="0.2">
      <c r="A11">
        <v>9000</v>
      </c>
      <c r="B11" t="s">
        <v>19</v>
      </c>
      <c r="C11" t="s">
        <v>74</v>
      </c>
      <c r="D11">
        <v>9000</v>
      </c>
      <c r="E11" t="s">
        <v>19</v>
      </c>
      <c r="F11" t="s">
        <v>29</v>
      </c>
      <c r="G11">
        <v>9000</v>
      </c>
      <c r="H11" t="s">
        <v>19</v>
      </c>
      <c r="I11" t="s">
        <v>29</v>
      </c>
      <c r="J11">
        <v>9000</v>
      </c>
      <c r="K11" t="s">
        <v>19</v>
      </c>
      <c r="L11" t="s">
        <v>29</v>
      </c>
      <c r="M11">
        <v>9000</v>
      </c>
      <c r="N11" t="s">
        <v>19</v>
      </c>
      <c r="O11" t="s">
        <v>29</v>
      </c>
    </row>
    <row r="12" spans="1:19" x14ac:dyDescent="0.2">
      <c r="A12">
        <v>10000</v>
      </c>
      <c r="B12" t="s">
        <v>58</v>
      </c>
      <c r="C12" t="s">
        <v>75</v>
      </c>
      <c r="D12">
        <v>10000</v>
      </c>
      <c r="E12" t="s">
        <v>58</v>
      </c>
      <c r="F12" t="s">
        <v>75</v>
      </c>
      <c r="G12">
        <v>10000</v>
      </c>
      <c r="H12" t="s">
        <v>58</v>
      </c>
      <c r="I12" t="s">
        <v>75</v>
      </c>
      <c r="J12">
        <v>10000</v>
      </c>
      <c r="K12" t="s">
        <v>58</v>
      </c>
      <c r="L12" t="s">
        <v>75</v>
      </c>
      <c r="M12">
        <v>10000</v>
      </c>
      <c r="N12" t="s">
        <v>58</v>
      </c>
      <c r="O12" t="s">
        <v>75</v>
      </c>
      <c r="P12">
        <f>P2+1</f>
        <v>2</v>
      </c>
      <c r="Q12">
        <v>20</v>
      </c>
    </row>
    <row r="13" spans="1:19" x14ac:dyDescent="0.2">
      <c r="A13">
        <f>A12+($Q12*1000)</f>
        <v>30000</v>
      </c>
      <c r="B13" t="s">
        <v>61</v>
      </c>
      <c r="C13" t="s">
        <v>75</v>
      </c>
      <c r="D13">
        <f>D12+($Q12*1000)</f>
        <v>30000</v>
      </c>
      <c r="E13" t="s">
        <v>61</v>
      </c>
      <c r="F13" t="s">
        <v>75</v>
      </c>
      <c r="G13">
        <f>G12+($Q12*1000)</f>
        <v>30000</v>
      </c>
      <c r="H13" t="s">
        <v>61</v>
      </c>
      <c r="I13" t="s">
        <v>75</v>
      </c>
      <c r="J13">
        <f>J12+($Q12*1000)</f>
        <v>30000</v>
      </c>
      <c r="K13" t="s">
        <v>61</v>
      </c>
      <c r="L13" t="s">
        <v>75</v>
      </c>
      <c r="M13">
        <f>M12+($Q12*1000)</f>
        <v>30000</v>
      </c>
      <c r="N13" t="s">
        <v>61</v>
      </c>
      <c r="O13" t="s">
        <v>75</v>
      </c>
      <c r="P13">
        <f>P12+1</f>
        <v>3</v>
      </c>
      <c r="Q13">
        <v>20</v>
      </c>
    </row>
    <row r="14" spans="1:19" x14ac:dyDescent="0.2">
      <c r="A14">
        <f>A13+($Q13*1000)</f>
        <v>50000</v>
      </c>
      <c r="B14" t="s">
        <v>19</v>
      </c>
      <c r="C14" t="s">
        <v>59</v>
      </c>
      <c r="D14">
        <f>D13+($Q13*1000)</f>
        <v>50000</v>
      </c>
      <c r="E14" t="s">
        <v>19</v>
      </c>
      <c r="F14" t="s">
        <v>59</v>
      </c>
      <c r="G14">
        <f>G13+($Q13*1000)</f>
        <v>50000</v>
      </c>
      <c r="H14" t="s">
        <v>19</v>
      </c>
      <c r="I14" t="s">
        <v>59</v>
      </c>
      <c r="J14">
        <f>J13+($Q13*1000)</f>
        <v>50000</v>
      </c>
      <c r="K14" t="s">
        <v>19</v>
      </c>
      <c r="L14" t="s">
        <v>59</v>
      </c>
      <c r="M14">
        <f>M13+($Q13*1000)</f>
        <v>50000</v>
      </c>
      <c r="N14" t="s">
        <v>19</v>
      </c>
      <c r="O14" t="s">
        <v>59</v>
      </c>
      <c r="P14">
        <f>P13+1</f>
        <v>4</v>
      </c>
      <c r="Q14">
        <v>6</v>
      </c>
    </row>
    <row r="15" spans="1:19" x14ac:dyDescent="0.2">
      <c r="A15">
        <f>A14+($Q14*1000)</f>
        <v>56000</v>
      </c>
      <c r="B15" t="s">
        <v>19</v>
      </c>
      <c r="C15" t="s">
        <v>30</v>
      </c>
      <c r="D15">
        <f>D14+($Q14*1000)</f>
        <v>56000</v>
      </c>
      <c r="E15" t="s">
        <v>19</v>
      </c>
      <c r="F15" t="s">
        <v>30</v>
      </c>
      <c r="G15">
        <f>G14+($Q14*1000)</f>
        <v>56000</v>
      </c>
      <c r="H15" t="s">
        <v>31</v>
      </c>
      <c r="I15" t="s">
        <v>32</v>
      </c>
      <c r="J15">
        <f>J14+($Q14*1000)</f>
        <v>56000</v>
      </c>
      <c r="K15" t="s">
        <v>31</v>
      </c>
      <c r="L15" t="s">
        <v>33</v>
      </c>
      <c r="M15">
        <f>M14+($Q14*1000)</f>
        <v>56000</v>
      </c>
      <c r="N15" t="s">
        <v>19</v>
      </c>
      <c r="O15" t="s">
        <v>30</v>
      </c>
      <c r="P15">
        <f>P14+1</f>
        <v>5</v>
      </c>
      <c r="Q15">
        <v>24</v>
      </c>
    </row>
    <row r="16" spans="1:19" x14ac:dyDescent="0.2">
      <c r="G16">
        <f t="shared" ref="G16:G21" si="0">G15+($S$2)</f>
        <v>60000</v>
      </c>
      <c r="H16" t="s">
        <v>19</v>
      </c>
      <c r="I16" t="s">
        <v>34</v>
      </c>
      <c r="J16">
        <f t="shared" ref="J16:J27" si="1">J15+($S$2*(1+$R$2))</f>
        <v>60050</v>
      </c>
      <c r="K16" t="s">
        <v>19</v>
      </c>
      <c r="L16" t="s">
        <v>35</v>
      </c>
    </row>
    <row r="17" spans="1:17" x14ac:dyDescent="0.2">
      <c r="G17">
        <f t="shared" si="0"/>
        <v>64000</v>
      </c>
      <c r="H17" t="s">
        <v>31</v>
      </c>
      <c r="I17" t="s">
        <v>32</v>
      </c>
      <c r="J17">
        <f t="shared" si="1"/>
        <v>64100</v>
      </c>
      <c r="K17" t="s">
        <v>31</v>
      </c>
      <c r="L17" t="s">
        <v>33</v>
      </c>
    </row>
    <row r="18" spans="1:17" x14ac:dyDescent="0.2">
      <c r="G18">
        <f t="shared" si="0"/>
        <v>68000</v>
      </c>
      <c r="H18" t="s">
        <v>19</v>
      </c>
      <c r="I18" t="s">
        <v>34</v>
      </c>
      <c r="J18">
        <f t="shared" si="1"/>
        <v>68150</v>
      </c>
      <c r="K18" t="s">
        <v>19</v>
      </c>
      <c r="L18" t="s">
        <v>35</v>
      </c>
    </row>
    <row r="19" spans="1:17" x14ac:dyDescent="0.2">
      <c r="G19">
        <f t="shared" si="0"/>
        <v>72000</v>
      </c>
      <c r="H19" t="s">
        <v>31</v>
      </c>
      <c r="I19" t="s">
        <v>32</v>
      </c>
      <c r="J19">
        <f t="shared" si="1"/>
        <v>72200</v>
      </c>
      <c r="K19" t="s">
        <v>31</v>
      </c>
      <c r="L19" t="s">
        <v>33</v>
      </c>
    </row>
    <row r="20" spans="1:17" x14ac:dyDescent="0.2">
      <c r="G20">
        <f t="shared" si="0"/>
        <v>76000</v>
      </c>
      <c r="H20" t="s">
        <v>19</v>
      </c>
      <c r="I20" t="s">
        <v>34</v>
      </c>
      <c r="J20">
        <f t="shared" si="1"/>
        <v>76250</v>
      </c>
      <c r="K20" t="s">
        <v>19</v>
      </c>
      <c r="L20" t="s">
        <v>35</v>
      </c>
    </row>
    <row r="21" spans="1:17" x14ac:dyDescent="0.2">
      <c r="A21">
        <f>A15+($Q15*1000)</f>
        <v>80000</v>
      </c>
      <c r="B21" t="s">
        <v>19</v>
      </c>
      <c r="C21" t="s">
        <v>36</v>
      </c>
      <c r="D21">
        <f>D15+($Q15*1000)</f>
        <v>80000</v>
      </c>
      <c r="E21" t="s">
        <v>19</v>
      </c>
      <c r="F21" t="s">
        <v>36</v>
      </c>
      <c r="G21">
        <f t="shared" si="0"/>
        <v>80000</v>
      </c>
      <c r="H21" t="s">
        <v>31</v>
      </c>
      <c r="I21" t="s">
        <v>32</v>
      </c>
      <c r="J21">
        <f t="shared" si="1"/>
        <v>80300</v>
      </c>
      <c r="K21" t="s">
        <v>31</v>
      </c>
      <c r="L21" t="s">
        <v>33</v>
      </c>
      <c r="M21">
        <f>M15+($Q15*1000)</f>
        <v>80000</v>
      </c>
      <c r="N21" t="s">
        <v>19</v>
      </c>
      <c r="O21" t="s">
        <v>36</v>
      </c>
      <c r="P21">
        <f>P15+1</f>
        <v>6</v>
      </c>
      <c r="Q21">
        <v>28</v>
      </c>
    </row>
    <row r="22" spans="1:17" x14ac:dyDescent="0.2">
      <c r="G22">
        <f t="shared" ref="G22:G31" si="2">G21+($S$2)</f>
        <v>84000</v>
      </c>
      <c r="H22" t="s">
        <v>19</v>
      </c>
      <c r="I22" t="s">
        <v>34</v>
      </c>
      <c r="J22">
        <f t="shared" si="1"/>
        <v>84350</v>
      </c>
      <c r="K22" t="s">
        <v>19</v>
      </c>
      <c r="L22" t="s">
        <v>35</v>
      </c>
    </row>
    <row r="23" spans="1:17" x14ac:dyDescent="0.2">
      <c r="G23">
        <f t="shared" si="2"/>
        <v>88000</v>
      </c>
      <c r="H23" t="s">
        <v>31</v>
      </c>
      <c r="I23" t="s">
        <v>32</v>
      </c>
      <c r="J23">
        <f t="shared" si="1"/>
        <v>88400</v>
      </c>
      <c r="K23" t="s">
        <v>31</v>
      </c>
      <c r="L23" t="s">
        <v>33</v>
      </c>
    </row>
    <row r="24" spans="1:17" x14ac:dyDescent="0.2">
      <c r="G24">
        <f t="shared" si="2"/>
        <v>92000</v>
      </c>
      <c r="H24" t="s">
        <v>19</v>
      </c>
      <c r="I24" t="s">
        <v>34</v>
      </c>
      <c r="J24">
        <f t="shared" si="1"/>
        <v>92450</v>
      </c>
      <c r="K24" t="s">
        <v>19</v>
      </c>
      <c r="L24" t="s">
        <v>35</v>
      </c>
    </row>
    <row r="25" spans="1:17" x14ac:dyDescent="0.2">
      <c r="G25">
        <f t="shared" si="2"/>
        <v>96000</v>
      </c>
      <c r="H25" t="s">
        <v>31</v>
      </c>
      <c r="I25" t="s">
        <v>32</v>
      </c>
      <c r="J25">
        <f t="shared" si="1"/>
        <v>96500</v>
      </c>
      <c r="K25" t="s">
        <v>31</v>
      </c>
      <c r="L25" t="s">
        <v>33</v>
      </c>
    </row>
    <row r="26" spans="1:17" x14ac:dyDescent="0.2">
      <c r="G26">
        <f t="shared" si="2"/>
        <v>100000</v>
      </c>
      <c r="H26" t="s">
        <v>19</v>
      </c>
      <c r="I26" t="s">
        <v>34</v>
      </c>
      <c r="J26">
        <f t="shared" si="1"/>
        <v>100550</v>
      </c>
      <c r="K26" t="s">
        <v>19</v>
      </c>
      <c r="L26" t="s">
        <v>35</v>
      </c>
    </row>
    <row r="27" spans="1:17" x14ac:dyDescent="0.2">
      <c r="G27">
        <f t="shared" si="2"/>
        <v>104000</v>
      </c>
      <c r="H27" t="s">
        <v>31</v>
      </c>
      <c r="I27" t="s">
        <v>32</v>
      </c>
      <c r="J27">
        <f t="shared" si="1"/>
        <v>104600</v>
      </c>
      <c r="K27" t="s">
        <v>31</v>
      </c>
      <c r="L27" t="s">
        <v>37</v>
      </c>
    </row>
    <row r="28" spans="1:17" x14ac:dyDescent="0.2">
      <c r="A28">
        <f>A21+($Q21*1000)</f>
        <v>108000</v>
      </c>
      <c r="B28" t="s">
        <v>19</v>
      </c>
      <c r="C28" t="s">
        <v>36</v>
      </c>
      <c r="D28">
        <f>D21+($Q21*1000)</f>
        <v>108000</v>
      </c>
      <c r="E28" t="s">
        <v>19</v>
      </c>
      <c r="F28" t="s">
        <v>36</v>
      </c>
      <c r="G28">
        <f t="shared" si="2"/>
        <v>108000</v>
      </c>
      <c r="H28" t="s">
        <v>19</v>
      </c>
      <c r="I28" t="s">
        <v>34</v>
      </c>
      <c r="J28">
        <f>M28</f>
        <v>108000</v>
      </c>
      <c r="K28" t="s">
        <v>31</v>
      </c>
      <c r="L28" t="s">
        <v>37</v>
      </c>
      <c r="M28">
        <f>M21+($Q21*1000)</f>
        <v>108000</v>
      </c>
      <c r="N28" t="s">
        <v>19</v>
      </c>
      <c r="O28" t="s">
        <v>36</v>
      </c>
      <c r="P28">
        <f>P21+1</f>
        <v>7</v>
      </c>
      <c r="Q28">
        <v>25</v>
      </c>
    </row>
    <row r="29" spans="1:17" x14ac:dyDescent="0.2">
      <c r="G29">
        <f t="shared" si="2"/>
        <v>112000</v>
      </c>
      <c r="H29" t="s">
        <v>31</v>
      </c>
      <c r="I29" t="s">
        <v>32</v>
      </c>
      <c r="J29">
        <f>J27+(11000)</f>
        <v>115600</v>
      </c>
      <c r="K29" t="s">
        <v>19</v>
      </c>
      <c r="L29" t="s">
        <v>76</v>
      </c>
    </row>
    <row r="30" spans="1:17" x14ac:dyDescent="0.2">
      <c r="G30">
        <f t="shared" si="2"/>
        <v>116000</v>
      </c>
      <c r="H30" t="s">
        <v>19</v>
      </c>
      <c r="I30" t="s">
        <v>34</v>
      </c>
      <c r="J30">
        <f>J29+1000</f>
        <v>116600</v>
      </c>
      <c r="K30" t="s">
        <v>31</v>
      </c>
      <c r="L30" t="s">
        <v>77</v>
      </c>
    </row>
    <row r="31" spans="1:17" x14ac:dyDescent="0.2">
      <c r="G31">
        <f t="shared" si="2"/>
        <v>120000</v>
      </c>
      <c r="H31" t="s">
        <v>31</v>
      </c>
      <c r="I31" t="s">
        <v>83</v>
      </c>
      <c r="J31">
        <f>J30+1000</f>
        <v>117600</v>
      </c>
      <c r="K31" t="s">
        <v>19</v>
      </c>
      <c r="L31" t="s">
        <v>76</v>
      </c>
    </row>
    <row r="32" spans="1:17" x14ac:dyDescent="0.2">
      <c r="G32">
        <f>G31+($S$2*0.75)</f>
        <v>123000</v>
      </c>
      <c r="H32" t="s">
        <v>19</v>
      </c>
      <c r="I32" t="s">
        <v>82</v>
      </c>
      <c r="J32">
        <f>G32</f>
        <v>123000</v>
      </c>
      <c r="K32" t="s">
        <v>31</v>
      </c>
      <c r="L32" t="s">
        <v>83</v>
      </c>
    </row>
    <row r="33" spans="1:18" x14ac:dyDescent="0.2">
      <c r="G33">
        <f>G32+($S$2*0.75)</f>
        <v>126000</v>
      </c>
      <c r="H33" t="s">
        <v>31</v>
      </c>
      <c r="I33" t="s">
        <v>83</v>
      </c>
      <c r="J33">
        <f>G33</f>
        <v>126000</v>
      </c>
      <c r="K33" t="s">
        <v>19</v>
      </c>
      <c r="L33" t="s">
        <v>82</v>
      </c>
    </row>
    <row r="34" spans="1:18" x14ac:dyDescent="0.2">
      <c r="G34">
        <f>G33+($S$2*0.75)</f>
        <v>129000</v>
      </c>
      <c r="H34" t="s">
        <v>19</v>
      </c>
      <c r="I34" t="s">
        <v>34</v>
      </c>
      <c r="J34">
        <f>G34</f>
        <v>129000</v>
      </c>
      <c r="K34" t="s">
        <v>31</v>
      </c>
      <c r="L34" t="s">
        <v>32</v>
      </c>
    </row>
    <row r="35" spans="1:18" x14ac:dyDescent="0.2">
      <c r="A35">
        <f>A28+($Q28*1000)</f>
        <v>133000</v>
      </c>
      <c r="B35" t="s">
        <v>19</v>
      </c>
      <c r="C35" t="s">
        <v>38</v>
      </c>
      <c r="D35">
        <f>D28+($Q28*1000)</f>
        <v>133000</v>
      </c>
      <c r="E35" t="s">
        <v>19</v>
      </c>
      <c r="F35" t="s">
        <v>38</v>
      </c>
      <c r="G35">
        <f>G34+($S$2)</f>
        <v>133000</v>
      </c>
      <c r="H35" t="s">
        <v>19</v>
      </c>
      <c r="I35" t="s">
        <v>39</v>
      </c>
      <c r="J35">
        <f>J34+($S$2)</f>
        <v>133000</v>
      </c>
      <c r="K35" t="s">
        <v>31</v>
      </c>
      <c r="L35" t="s">
        <v>77</v>
      </c>
      <c r="M35">
        <f>M28+($Q28*1000)</f>
        <v>133000</v>
      </c>
      <c r="N35" t="s">
        <v>19</v>
      </c>
      <c r="O35" t="s">
        <v>38</v>
      </c>
      <c r="P35">
        <f>P28+1</f>
        <v>8</v>
      </c>
      <c r="Q35">
        <v>8</v>
      </c>
    </row>
    <row r="36" spans="1:18" x14ac:dyDescent="0.2">
      <c r="J36">
        <f>J35+1000</f>
        <v>134000</v>
      </c>
      <c r="K36" t="s">
        <v>19</v>
      </c>
      <c r="L36" t="s">
        <v>76</v>
      </c>
    </row>
    <row r="37" spans="1:18" x14ac:dyDescent="0.2">
      <c r="J37">
        <f>J36+1000</f>
        <v>135000</v>
      </c>
      <c r="K37" t="s">
        <v>31</v>
      </c>
      <c r="L37" t="s">
        <v>77</v>
      </c>
    </row>
    <row r="38" spans="1:18" x14ac:dyDescent="0.2">
      <c r="A38">
        <f>A35+($Q35*1000)</f>
        <v>141000</v>
      </c>
      <c r="B38" t="s">
        <v>19</v>
      </c>
      <c r="C38" t="s">
        <v>59</v>
      </c>
      <c r="D38">
        <f>D35+($Q35*1000)</f>
        <v>141000</v>
      </c>
      <c r="E38" t="s">
        <v>19</v>
      </c>
      <c r="F38" t="s">
        <v>59</v>
      </c>
      <c r="G38">
        <f>G35+Q35*1000</f>
        <v>141000</v>
      </c>
      <c r="H38" t="s">
        <v>31</v>
      </c>
      <c r="I38" t="s">
        <v>40</v>
      </c>
      <c r="J38">
        <f>J37+6000</f>
        <v>141000</v>
      </c>
      <c r="K38" t="s">
        <v>19</v>
      </c>
      <c r="L38" t="s">
        <v>40</v>
      </c>
      <c r="M38">
        <f>M35+($Q35*1000)</f>
        <v>141000</v>
      </c>
      <c r="N38" t="s">
        <v>19</v>
      </c>
      <c r="O38" t="s">
        <v>59</v>
      </c>
      <c r="P38">
        <f>P35+1</f>
        <v>9</v>
      </c>
      <c r="Q38">
        <v>6</v>
      </c>
      <c r="R38" t="s">
        <v>41</v>
      </c>
    </row>
    <row r="39" spans="1:18" x14ac:dyDescent="0.2">
      <c r="A39">
        <f t="shared" ref="A39:A44" si="3">A38+($Q38*1000)</f>
        <v>147000</v>
      </c>
      <c r="B39" t="s">
        <v>19</v>
      </c>
      <c r="C39" t="s">
        <v>42</v>
      </c>
      <c r="D39">
        <f t="shared" ref="D39:D44" si="4">D38+($Q38*1000)</f>
        <v>147000</v>
      </c>
      <c r="E39" t="s">
        <v>19</v>
      </c>
      <c r="F39" t="s">
        <v>42</v>
      </c>
      <c r="G39">
        <f>G38+$Q38*1000</f>
        <v>147000</v>
      </c>
      <c r="H39" t="s">
        <v>55</v>
      </c>
      <c r="I39" t="s">
        <v>64</v>
      </c>
      <c r="J39">
        <f>J38+$Q38*1000</f>
        <v>147000</v>
      </c>
      <c r="K39" t="s">
        <v>55</v>
      </c>
      <c r="L39" t="s">
        <v>62</v>
      </c>
      <c r="M39">
        <f t="shared" ref="M39:M44" si="5">M38+($Q38*1000)</f>
        <v>147000</v>
      </c>
      <c r="N39" t="s">
        <v>19</v>
      </c>
      <c r="O39" t="s">
        <v>42</v>
      </c>
      <c r="P39">
        <f>P38+1</f>
        <v>10</v>
      </c>
      <c r="Q39">
        <v>35</v>
      </c>
    </row>
    <row r="40" spans="1:18" x14ac:dyDescent="0.2">
      <c r="A40">
        <f>A39+($Q39*1000)</f>
        <v>182000</v>
      </c>
      <c r="B40" t="s">
        <v>19</v>
      </c>
      <c r="C40" t="s">
        <v>43</v>
      </c>
      <c r="D40">
        <f>D39+($Q39*1000)</f>
        <v>182000</v>
      </c>
      <c r="E40" t="s">
        <v>19</v>
      </c>
      <c r="F40" t="s">
        <v>43</v>
      </c>
      <c r="G40">
        <f>G39+$Q39*1000</f>
        <v>182000</v>
      </c>
      <c r="H40" t="s">
        <v>57</v>
      </c>
      <c r="I40" t="s">
        <v>63</v>
      </c>
      <c r="J40">
        <f>J39+$Q39*1000</f>
        <v>182000</v>
      </c>
      <c r="K40" t="s">
        <v>57</v>
      </c>
      <c r="L40" t="s">
        <v>63</v>
      </c>
      <c r="M40">
        <f>M39+($Q39*1000)</f>
        <v>182000</v>
      </c>
      <c r="N40" t="s">
        <v>19</v>
      </c>
      <c r="O40" t="s">
        <v>43</v>
      </c>
      <c r="P40">
        <f>P39+1</f>
        <v>11</v>
      </c>
      <c r="Q40">
        <v>21</v>
      </c>
    </row>
    <row r="41" spans="1:18" x14ac:dyDescent="0.2">
      <c r="A41">
        <f t="shared" si="3"/>
        <v>203000</v>
      </c>
      <c r="B41" t="s">
        <v>19</v>
      </c>
      <c r="C41" t="s">
        <v>44</v>
      </c>
      <c r="D41">
        <f t="shared" si="4"/>
        <v>203000</v>
      </c>
      <c r="E41" t="s">
        <v>19</v>
      </c>
      <c r="F41" t="s">
        <v>44</v>
      </c>
      <c r="G41">
        <f t="shared" ref="G41:G44" si="6">G40+$Q40*1000</f>
        <v>203000</v>
      </c>
      <c r="H41" t="s">
        <v>57</v>
      </c>
      <c r="I41" t="s">
        <v>63</v>
      </c>
      <c r="J41">
        <f t="shared" ref="J41:J44" si="7">J40+$Q40*1000</f>
        <v>203000</v>
      </c>
      <c r="K41" t="s">
        <v>31</v>
      </c>
      <c r="L41" t="s">
        <v>45</v>
      </c>
      <c r="M41">
        <f t="shared" si="5"/>
        <v>203000</v>
      </c>
      <c r="N41" t="s">
        <v>19</v>
      </c>
      <c r="O41" t="s">
        <v>44</v>
      </c>
      <c r="P41">
        <f t="shared" ref="P41:P44" si="8">P40+1</f>
        <v>12</v>
      </c>
      <c r="Q41">
        <v>4</v>
      </c>
    </row>
    <row r="42" spans="1:18" x14ac:dyDescent="0.2">
      <c r="A42">
        <f t="shared" si="3"/>
        <v>207000</v>
      </c>
      <c r="B42" t="s">
        <v>19</v>
      </c>
      <c r="C42" t="s">
        <v>44</v>
      </c>
      <c r="D42">
        <f t="shared" si="4"/>
        <v>207000</v>
      </c>
      <c r="E42" t="s">
        <v>19</v>
      </c>
      <c r="F42" t="s">
        <v>44</v>
      </c>
      <c r="G42">
        <f t="shared" si="6"/>
        <v>207000</v>
      </c>
      <c r="H42" t="s">
        <v>31</v>
      </c>
      <c r="I42" t="s">
        <v>45</v>
      </c>
      <c r="J42">
        <f t="shared" si="7"/>
        <v>207000</v>
      </c>
      <c r="K42" t="s">
        <v>31</v>
      </c>
      <c r="L42" t="s">
        <v>45</v>
      </c>
      <c r="M42">
        <f t="shared" si="5"/>
        <v>207000</v>
      </c>
      <c r="N42" t="s">
        <v>19</v>
      </c>
      <c r="O42" t="s">
        <v>44</v>
      </c>
      <c r="P42">
        <f t="shared" si="8"/>
        <v>13</v>
      </c>
      <c r="Q42">
        <v>4</v>
      </c>
    </row>
    <row r="43" spans="1:18" x14ac:dyDescent="0.2">
      <c r="A43">
        <f t="shared" si="3"/>
        <v>211000</v>
      </c>
      <c r="B43" t="s">
        <v>19</v>
      </c>
      <c r="C43" t="s">
        <v>46</v>
      </c>
      <c r="D43">
        <f t="shared" si="4"/>
        <v>211000</v>
      </c>
      <c r="E43" t="s">
        <v>19</v>
      </c>
      <c r="F43" t="s">
        <v>46</v>
      </c>
      <c r="G43">
        <f t="shared" si="6"/>
        <v>211000</v>
      </c>
      <c r="H43" t="s">
        <v>31</v>
      </c>
      <c r="I43" t="s">
        <v>47</v>
      </c>
      <c r="J43">
        <f t="shared" si="7"/>
        <v>211000</v>
      </c>
      <c r="K43" t="s">
        <v>31</v>
      </c>
      <c r="L43" t="s">
        <v>47</v>
      </c>
      <c r="M43">
        <f t="shared" si="5"/>
        <v>211000</v>
      </c>
      <c r="N43" t="s">
        <v>19</v>
      </c>
      <c r="O43" t="s">
        <v>46</v>
      </c>
      <c r="P43">
        <f t="shared" si="8"/>
        <v>14</v>
      </c>
      <c r="Q43">
        <v>2</v>
      </c>
    </row>
    <row r="44" spans="1:18" x14ac:dyDescent="0.2">
      <c r="A44">
        <f t="shared" si="3"/>
        <v>213000</v>
      </c>
      <c r="B44" t="s">
        <v>19</v>
      </c>
      <c r="C44" t="s">
        <v>30</v>
      </c>
      <c r="D44">
        <f t="shared" si="4"/>
        <v>213000</v>
      </c>
      <c r="E44" t="s">
        <v>31</v>
      </c>
      <c r="F44" t="s">
        <v>48</v>
      </c>
      <c r="G44">
        <f t="shared" si="6"/>
        <v>213000</v>
      </c>
      <c r="H44" t="s">
        <v>31</v>
      </c>
      <c r="I44" t="s">
        <v>32</v>
      </c>
      <c r="J44">
        <f t="shared" si="7"/>
        <v>213000</v>
      </c>
      <c r="K44" t="s">
        <v>31</v>
      </c>
      <c r="L44" t="s">
        <v>33</v>
      </c>
      <c r="M44">
        <f t="shared" si="5"/>
        <v>213000</v>
      </c>
      <c r="N44" t="s">
        <v>19</v>
      </c>
      <c r="O44" t="s">
        <v>30</v>
      </c>
      <c r="P44">
        <f t="shared" si="8"/>
        <v>15</v>
      </c>
      <c r="Q44">
        <v>24</v>
      </c>
    </row>
    <row r="45" spans="1:18" x14ac:dyDescent="0.2">
      <c r="D45">
        <f>D44+($S$2*(1-$R$2))</f>
        <v>216950</v>
      </c>
      <c r="E45" t="s">
        <v>19</v>
      </c>
      <c r="F45" t="s">
        <v>49</v>
      </c>
      <c r="G45">
        <f t="shared" ref="G45:G61" si="9">G44+($S$2)</f>
        <v>217000</v>
      </c>
      <c r="H45" t="s">
        <v>19</v>
      </c>
      <c r="I45" t="s">
        <v>34</v>
      </c>
      <c r="J45">
        <f>J44+($S$2*(1+$R$2))</f>
        <v>217050</v>
      </c>
      <c r="K45" t="s">
        <v>19</v>
      </c>
      <c r="L45" t="s">
        <v>35</v>
      </c>
    </row>
    <row r="46" spans="1:18" x14ac:dyDescent="0.2">
      <c r="D46">
        <f>D45+($S$2*(1-$R$2))</f>
        <v>220900</v>
      </c>
      <c r="E46" t="s">
        <v>31</v>
      </c>
      <c r="F46" t="s">
        <v>48</v>
      </c>
      <c r="G46">
        <f t="shared" si="9"/>
        <v>221000</v>
      </c>
      <c r="H46" t="s">
        <v>31</v>
      </c>
      <c r="I46" t="s">
        <v>32</v>
      </c>
      <c r="J46">
        <f t="shared" ref="J46:J65" si="10">J45+($S$2*(1+$R$2))</f>
        <v>221100</v>
      </c>
      <c r="K46" t="s">
        <v>31</v>
      </c>
      <c r="L46" t="s">
        <v>33</v>
      </c>
    </row>
    <row r="47" spans="1:18" x14ac:dyDescent="0.2">
      <c r="D47">
        <f t="shared" ref="D47:D68" si="11">D46+($S$2*(1-$R$2))</f>
        <v>224850</v>
      </c>
      <c r="E47" t="s">
        <v>19</v>
      </c>
      <c r="F47" t="s">
        <v>49</v>
      </c>
      <c r="G47">
        <f t="shared" si="9"/>
        <v>225000</v>
      </c>
      <c r="H47" t="s">
        <v>19</v>
      </c>
      <c r="I47" t="s">
        <v>34</v>
      </c>
      <c r="J47">
        <f t="shared" si="10"/>
        <v>225150</v>
      </c>
      <c r="K47" t="s">
        <v>19</v>
      </c>
      <c r="L47" t="s">
        <v>35</v>
      </c>
    </row>
    <row r="48" spans="1:18" x14ac:dyDescent="0.2">
      <c r="D48">
        <f t="shared" si="11"/>
        <v>228800</v>
      </c>
      <c r="E48" t="s">
        <v>31</v>
      </c>
      <c r="F48" t="s">
        <v>48</v>
      </c>
      <c r="G48">
        <f t="shared" si="9"/>
        <v>229000</v>
      </c>
      <c r="H48" t="s">
        <v>31</v>
      </c>
      <c r="I48" t="s">
        <v>32</v>
      </c>
      <c r="J48">
        <f t="shared" si="10"/>
        <v>229200</v>
      </c>
      <c r="K48" t="s">
        <v>31</v>
      </c>
      <c r="L48" t="s">
        <v>33</v>
      </c>
    </row>
    <row r="49" spans="1:17" x14ac:dyDescent="0.2">
      <c r="D49">
        <f t="shared" si="11"/>
        <v>232750</v>
      </c>
      <c r="E49" t="s">
        <v>19</v>
      </c>
      <c r="F49" t="s">
        <v>49</v>
      </c>
      <c r="G49">
        <f t="shared" si="9"/>
        <v>233000</v>
      </c>
      <c r="H49" t="s">
        <v>19</v>
      </c>
      <c r="I49" t="s">
        <v>34</v>
      </c>
      <c r="J49">
        <f t="shared" si="10"/>
        <v>233250</v>
      </c>
      <c r="K49" t="s">
        <v>19</v>
      </c>
      <c r="L49" t="s">
        <v>35</v>
      </c>
    </row>
    <row r="50" spans="1:17" x14ac:dyDescent="0.2">
      <c r="A50">
        <f>A44+(Q44*1000)-((G49-D50)*0.5)</f>
        <v>238850</v>
      </c>
      <c r="B50" t="s">
        <v>31</v>
      </c>
      <c r="C50" t="s">
        <v>81</v>
      </c>
      <c r="D50">
        <f t="shared" si="11"/>
        <v>236700</v>
      </c>
      <c r="E50" t="s">
        <v>31</v>
      </c>
      <c r="F50" t="s">
        <v>48</v>
      </c>
      <c r="G50">
        <f t="shared" si="9"/>
        <v>237000</v>
      </c>
      <c r="H50" t="s">
        <v>31</v>
      </c>
      <c r="I50" t="s">
        <v>32</v>
      </c>
      <c r="J50">
        <f t="shared" si="10"/>
        <v>237300</v>
      </c>
      <c r="K50" t="s">
        <v>31</v>
      </c>
      <c r="L50" t="s">
        <v>33</v>
      </c>
      <c r="M50">
        <f>M44+($Q44*1000)</f>
        <v>237000</v>
      </c>
      <c r="N50" t="s">
        <v>19</v>
      </c>
      <c r="O50" t="s">
        <v>36</v>
      </c>
      <c r="P50">
        <f>P44+1</f>
        <v>16</v>
      </c>
      <c r="Q50">
        <v>28</v>
      </c>
    </row>
    <row r="51" spans="1:17" x14ac:dyDescent="0.2">
      <c r="D51">
        <f t="shared" si="11"/>
        <v>240650</v>
      </c>
      <c r="E51" t="s">
        <v>19</v>
      </c>
      <c r="F51" t="s">
        <v>49</v>
      </c>
      <c r="G51">
        <f t="shared" si="9"/>
        <v>241000</v>
      </c>
      <c r="H51" t="s">
        <v>19</v>
      </c>
      <c r="I51" t="s">
        <v>34</v>
      </c>
      <c r="J51">
        <f t="shared" si="10"/>
        <v>241350</v>
      </c>
      <c r="K51" t="s">
        <v>19</v>
      </c>
      <c r="L51" t="s">
        <v>35</v>
      </c>
    </row>
    <row r="52" spans="1:17" x14ac:dyDescent="0.2">
      <c r="D52">
        <f t="shared" si="11"/>
        <v>244600</v>
      </c>
      <c r="E52" t="s">
        <v>31</v>
      </c>
      <c r="F52" t="s">
        <v>48</v>
      </c>
      <c r="G52">
        <f t="shared" si="9"/>
        <v>245000</v>
      </c>
      <c r="H52" t="s">
        <v>31</v>
      </c>
      <c r="I52" t="s">
        <v>32</v>
      </c>
      <c r="J52">
        <f t="shared" si="10"/>
        <v>245400</v>
      </c>
      <c r="K52" t="s">
        <v>31</v>
      </c>
      <c r="L52" t="s">
        <v>33</v>
      </c>
    </row>
    <row r="53" spans="1:17" x14ac:dyDescent="0.2">
      <c r="A53">
        <f>G44+($S$2*(1-$R$2*2))*10</f>
        <v>252000</v>
      </c>
      <c r="B53" t="s">
        <v>31</v>
      </c>
      <c r="C53" t="s">
        <v>81</v>
      </c>
      <c r="D53">
        <f t="shared" si="11"/>
        <v>248550</v>
      </c>
      <c r="E53" t="s">
        <v>19</v>
      </c>
      <c r="F53" t="s">
        <v>49</v>
      </c>
      <c r="G53">
        <f t="shared" si="9"/>
        <v>249000</v>
      </c>
      <c r="H53" t="s">
        <v>19</v>
      </c>
      <c r="I53" t="s">
        <v>34</v>
      </c>
      <c r="J53">
        <f t="shared" si="10"/>
        <v>249450</v>
      </c>
      <c r="K53" t="s">
        <v>19</v>
      </c>
      <c r="L53" t="s">
        <v>35</v>
      </c>
    </row>
    <row r="54" spans="1:17" x14ac:dyDescent="0.2">
      <c r="A54">
        <f t="shared" ref="A54:A67" si="12">A53+($S$2*(1-$R$2*2))</f>
        <v>255900</v>
      </c>
      <c r="B54" t="s">
        <v>19</v>
      </c>
      <c r="C54" t="s">
        <v>50</v>
      </c>
      <c r="D54">
        <f t="shared" si="11"/>
        <v>252500</v>
      </c>
      <c r="E54" t="s">
        <v>31</v>
      </c>
      <c r="F54" t="s">
        <v>48</v>
      </c>
      <c r="G54">
        <f t="shared" si="9"/>
        <v>253000</v>
      </c>
      <c r="H54" t="s">
        <v>31</v>
      </c>
      <c r="I54" t="s">
        <v>32</v>
      </c>
      <c r="J54">
        <f t="shared" si="10"/>
        <v>253500</v>
      </c>
      <c r="K54" t="s">
        <v>31</v>
      </c>
      <c r="L54" t="s">
        <v>33</v>
      </c>
    </row>
    <row r="55" spans="1:17" x14ac:dyDescent="0.2">
      <c r="A55">
        <f t="shared" si="12"/>
        <v>259800</v>
      </c>
      <c r="B55" t="s">
        <v>31</v>
      </c>
      <c r="C55" t="s">
        <v>51</v>
      </c>
      <c r="D55">
        <f t="shared" si="11"/>
        <v>256450</v>
      </c>
      <c r="E55" t="s">
        <v>19</v>
      </c>
      <c r="F55" t="s">
        <v>49</v>
      </c>
      <c r="G55">
        <f t="shared" si="9"/>
        <v>257000</v>
      </c>
      <c r="H55" t="s">
        <v>19</v>
      </c>
      <c r="I55" t="s">
        <v>34</v>
      </c>
      <c r="J55">
        <f t="shared" si="10"/>
        <v>257550</v>
      </c>
      <c r="K55" t="s">
        <v>19</v>
      </c>
      <c r="L55" t="s">
        <v>35</v>
      </c>
    </row>
    <row r="56" spans="1:17" x14ac:dyDescent="0.2">
      <c r="A56">
        <f t="shared" si="12"/>
        <v>263700</v>
      </c>
      <c r="B56" t="s">
        <v>19</v>
      </c>
      <c r="C56" t="s">
        <v>50</v>
      </c>
      <c r="D56">
        <f t="shared" si="11"/>
        <v>260400</v>
      </c>
      <c r="E56" t="s">
        <v>31</v>
      </c>
      <c r="F56" t="s">
        <v>48</v>
      </c>
      <c r="G56">
        <f t="shared" si="9"/>
        <v>261000</v>
      </c>
      <c r="H56" t="s">
        <v>31</v>
      </c>
      <c r="I56" t="s">
        <v>32</v>
      </c>
      <c r="J56">
        <f t="shared" si="10"/>
        <v>261600</v>
      </c>
      <c r="K56" t="s">
        <v>31</v>
      </c>
      <c r="L56" t="s">
        <v>33</v>
      </c>
    </row>
    <row r="57" spans="1:17" x14ac:dyDescent="0.2">
      <c r="A57">
        <f t="shared" si="12"/>
        <v>267600</v>
      </c>
      <c r="B57" t="s">
        <v>31</v>
      </c>
      <c r="C57" t="s">
        <v>51</v>
      </c>
      <c r="D57">
        <f t="shared" si="11"/>
        <v>264350</v>
      </c>
      <c r="E57" t="s">
        <v>19</v>
      </c>
      <c r="F57" t="s">
        <v>49</v>
      </c>
      <c r="G57">
        <f t="shared" si="9"/>
        <v>265000</v>
      </c>
      <c r="H57" t="s">
        <v>19</v>
      </c>
      <c r="I57" t="s">
        <v>34</v>
      </c>
      <c r="J57">
        <f t="shared" si="10"/>
        <v>265650</v>
      </c>
      <c r="K57" t="s">
        <v>19</v>
      </c>
      <c r="L57" t="s">
        <v>35</v>
      </c>
      <c r="M57">
        <f>M50+($Q50*1000)</f>
        <v>265000</v>
      </c>
      <c r="N57" t="s">
        <v>19</v>
      </c>
      <c r="O57" t="s">
        <v>52</v>
      </c>
      <c r="P57">
        <f>P50+1</f>
        <v>17</v>
      </c>
      <c r="Q57">
        <v>20</v>
      </c>
    </row>
    <row r="58" spans="1:17" x14ac:dyDescent="0.2">
      <c r="A58">
        <f t="shared" si="12"/>
        <v>271500</v>
      </c>
      <c r="B58" t="s">
        <v>19</v>
      </c>
      <c r="C58" t="s">
        <v>50</v>
      </c>
      <c r="D58">
        <f t="shared" si="11"/>
        <v>268300</v>
      </c>
      <c r="E58" t="s">
        <v>31</v>
      </c>
      <c r="F58" t="s">
        <v>48</v>
      </c>
      <c r="G58">
        <f t="shared" si="9"/>
        <v>269000</v>
      </c>
      <c r="H58" t="s">
        <v>31</v>
      </c>
      <c r="I58" t="s">
        <v>32</v>
      </c>
      <c r="J58">
        <f t="shared" si="10"/>
        <v>269700</v>
      </c>
      <c r="K58" t="s">
        <v>31</v>
      </c>
      <c r="L58" t="s">
        <v>33</v>
      </c>
    </row>
    <row r="59" spans="1:17" x14ac:dyDescent="0.2">
      <c r="A59">
        <f t="shared" si="12"/>
        <v>275400</v>
      </c>
      <c r="B59" t="s">
        <v>31</v>
      </c>
      <c r="C59" t="s">
        <v>51</v>
      </c>
      <c r="D59">
        <f t="shared" si="11"/>
        <v>272250</v>
      </c>
      <c r="E59" t="s">
        <v>19</v>
      </c>
      <c r="F59" t="s">
        <v>49</v>
      </c>
      <c r="G59">
        <f t="shared" si="9"/>
        <v>273000</v>
      </c>
      <c r="H59" t="s">
        <v>19</v>
      </c>
      <c r="I59" t="s">
        <v>34</v>
      </c>
      <c r="J59">
        <f t="shared" si="10"/>
        <v>273750</v>
      </c>
      <c r="K59" t="s">
        <v>19</v>
      </c>
      <c r="L59" t="s">
        <v>35</v>
      </c>
    </row>
    <row r="60" spans="1:17" x14ac:dyDescent="0.2">
      <c r="A60">
        <f t="shared" si="12"/>
        <v>279300</v>
      </c>
      <c r="B60" t="s">
        <v>19</v>
      </c>
      <c r="C60" t="s">
        <v>50</v>
      </c>
      <c r="D60">
        <f t="shared" si="11"/>
        <v>276200</v>
      </c>
      <c r="E60" t="s">
        <v>31</v>
      </c>
      <c r="F60" t="s">
        <v>48</v>
      </c>
      <c r="G60">
        <f t="shared" si="9"/>
        <v>277000</v>
      </c>
      <c r="H60" t="s">
        <v>31</v>
      </c>
      <c r="I60" t="s">
        <v>53</v>
      </c>
      <c r="J60">
        <f t="shared" si="10"/>
        <v>277800</v>
      </c>
      <c r="K60" t="s">
        <v>31</v>
      </c>
      <c r="L60" t="s">
        <v>33</v>
      </c>
    </row>
    <row r="61" spans="1:17" x14ac:dyDescent="0.2">
      <c r="A61">
        <f t="shared" si="12"/>
        <v>283200</v>
      </c>
      <c r="B61" t="s">
        <v>31</v>
      </c>
      <c r="C61" t="s">
        <v>51</v>
      </c>
      <c r="D61">
        <f t="shared" si="11"/>
        <v>280150</v>
      </c>
      <c r="E61" t="s">
        <v>19</v>
      </c>
      <c r="F61" t="s">
        <v>49</v>
      </c>
      <c r="G61">
        <f t="shared" si="9"/>
        <v>281000</v>
      </c>
      <c r="H61" t="s">
        <v>19</v>
      </c>
      <c r="I61" t="s">
        <v>40</v>
      </c>
      <c r="J61">
        <f t="shared" si="10"/>
        <v>281850</v>
      </c>
      <c r="K61" t="s">
        <v>19</v>
      </c>
      <c r="L61" t="s">
        <v>35</v>
      </c>
    </row>
    <row r="62" spans="1:17" x14ac:dyDescent="0.2">
      <c r="A62">
        <f t="shared" si="12"/>
        <v>287100</v>
      </c>
      <c r="B62" t="s">
        <v>19</v>
      </c>
      <c r="C62" t="s">
        <v>50</v>
      </c>
      <c r="D62">
        <f t="shared" si="11"/>
        <v>284100</v>
      </c>
      <c r="E62" t="s">
        <v>31</v>
      </c>
      <c r="F62" t="s">
        <v>48</v>
      </c>
      <c r="G62">
        <f>G61+($S$2)</f>
        <v>285000</v>
      </c>
      <c r="H62" t="s">
        <v>55</v>
      </c>
      <c r="I62" t="s">
        <v>62</v>
      </c>
      <c r="J62">
        <f t="shared" si="10"/>
        <v>285900</v>
      </c>
      <c r="K62" t="s">
        <v>31</v>
      </c>
      <c r="L62" t="s">
        <v>33</v>
      </c>
      <c r="M62">
        <f>M57+($Q57*1000)</f>
        <v>285000</v>
      </c>
      <c r="N62" t="s">
        <v>19</v>
      </c>
      <c r="O62" t="s">
        <v>38</v>
      </c>
      <c r="P62">
        <f>P57+1</f>
        <v>18</v>
      </c>
      <c r="Q62">
        <v>10</v>
      </c>
    </row>
    <row r="63" spans="1:17" x14ac:dyDescent="0.2">
      <c r="A63">
        <f t="shared" si="12"/>
        <v>291000</v>
      </c>
      <c r="B63" t="s">
        <v>31</v>
      </c>
      <c r="C63" t="s">
        <v>51</v>
      </c>
      <c r="D63">
        <f t="shared" si="11"/>
        <v>288050</v>
      </c>
      <c r="E63" t="s">
        <v>19</v>
      </c>
      <c r="F63" t="s">
        <v>49</v>
      </c>
      <c r="J63">
        <f t="shared" si="10"/>
        <v>289950</v>
      </c>
      <c r="K63" t="s">
        <v>19</v>
      </c>
      <c r="L63" t="s">
        <v>35</v>
      </c>
    </row>
    <row r="64" spans="1:17" x14ac:dyDescent="0.2">
      <c r="A64">
        <f t="shared" si="12"/>
        <v>294900</v>
      </c>
      <c r="B64" t="s">
        <v>19</v>
      </c>
      <c r="C64" t="s">
        <v>50</v>
      </c>
      <c r="D64">
        <f t="shared" si="11"/>
        <v>292000</v>
      </c>
      <c r="E64" t="s">
        <v>31</v>
      </c>
      <c r="F64" t="s">
        <v>48</v>
      </c>
      <c r="G64">
        <f>G62+$Q62*1000</f>
        <v>295000</v>
      </c>
      <c r="H64" t="s">
        <v>55</v>
      </c>
      <c r="I64" t="s">
        <v>62</v>
      </c>
      <c r="J64">
        <f t="shared" si="10"/>
        <v>294000</v>
      </c>
      <c r="K64" t="s">
        <v>31</v>
      </c>
      <c r="L64" t="s">
        <v>33</v>
      </c>
      <c r="M64">
        <f>M62+($Q62*1000)</f>
        <v>295000</v>
      </c>
      <c r="N64" t="s">
        <v>19</v>
      </c>
      <c r="O64" t="s">
        <v>54</v>
      </c>
      <c r="P64">
        <f>P62+1</f>
        <v>19</v>
      </c>
      <c r="Q64">
        <v>15</v>
      </c>
    </row>
    <row r="65" spans="1:17" x14ac:dyDescent="0.2">
      <c r="A65">
        <f t="shared" si="12"/>
        <v>298800</v>
      </c>
      <c r="B65" t="s">
        <v>31</v>
      </c>
      <c r="C65" t="s">
        <v>51</v>
      </c>
      <c r="D65">
        <f t="shared" si="11"/>
        <v>295950</v>
      </c>
      <c r="E65" t="s">
        <v>19</v>
      </c>
      <c r="F65" t="s">
        <v>49</v>
      </c>
      <c r="J65">
        <f t="shared" si="10"/>
        <v>298050</v>
      </c>
      <c r="K65" t="s">
        <v>19</v>
      </c>
      <c r="L65" t="s">
        <v>40</v>
      </c>
    </row>
    <row r="66" spans="1:17" x14ac:dyDescent="0.2">
      <c r="A66">
        <f t="shared" si="12"/>
        <v>302700</v>
      </c>
      <c r="B66" t="s">
        <v>19</v>
      </c>
      <c r="C66" t="s">
        <v>40</v>
      </c>
      <c r="D66">
        <f t="shared" si="11"/>
        <v>299900</v>
      </c>
      <c r="E66" t="s">
        <v>31</v>
      </c>
      <c r="F66" t="s">
        <v>48</v>
      </c>
      <c r="J66">
        <f>J65+($S$2*(1+$R$2))</f>
        <v>302100</v>
      </c>
      <c r="K66" t="s">
        <v>55</v>
      </c>
      <c r="L66" t="s">
        <v>62</v>
      </c>
    </row>
    <row r="67" spans="1:17" x14ac:dyDescent="0.2">
      <c r="A67">
        <f t="shared" si="12"/>
        <v>306600</v>
      </c>
      <c r="B67" t="s">
        <v>55</v>
      </c>
      <c r="C67" t="s">
        <v>62</v>
      </c>
      <c r="D67">
        <f t="shared" si="11"/>
        <v>303850</v>
      </c>
      <c r="E67" t="s">
        <v>19</v>
      </c>
      <c r="F67" t="s">
        <v>49</v>
      </c>
    </row>
    <row r="68" spans="1:17" x14ac:dyDescent="0.2">
      <c r="D68">
        <f t="shared" si="11"/>
        <v>307800</v>
      </c>
      <c r="E68" t="s">
        <v>55</v>
      </c>
      <c r="F68" t="s">
        <v>62</v>
      </c>
    </row>
    <row r="69" spans="1:17" x14ac:dyDescent="0.2">
      <c r="A69">
        <f>$M69</f>
        <v>310000</v>
      </c>
      <c r="B69" t="s">
        <v>55</v>
      </c>
      <c r="C69" t="s">
        <v>62</v>
      </c>
      <c r="D69">
        <f>$M69</f>
        <v>310000</v>
      </c>
      <c r="E69" t="s">
        <v>55</v>
      </c>
      <c r="F69" t="s">
        <v>62</v>
      </c>
      <c r="G69">
        <f>$M69</f>
        <v>310000</v>
      </c>
      <c r="H69" t="s">
        <v>57</v>
      </c>
      <c r="I69" t="s">
        <v>63</v>
      </c>
      <c r="J69">
        <f>$M69</f>
        <v>310000</v>
      </c>
      <c r="K69" t="s">
        <v>55</v>
      </c>
      <c r="L69" t="s">
        <v>62</v>
      </c>
      <c r="M69">
        <f>M64+($Q64*1000)</f>
        <v>310000</v>
      </c>
      <c r="N69" t="s">
        <v>19</v>
      </c>
      <c r="O69" t="s">
        <v>56</v>
      </c>
      <c r="P69">
        <f>P64+1</f>
        <v>20</v>
      </c>
      <c r="Q69">
        <v>40</v>
      </c>
    </row>
    <row r="70" spans="1:17" x14ac:dyDescent="0.2">
      <c r="A70">
        <f>$M70</f>
        <v>350000</v>
      </c>
      <c r="B70" t="s">
        <v>55</v>
      </c>
      <c r="C70" t="s">
        <v>62</v>
      </c>
      <c r="D70">
        <f>$M70</f>
        <v>350000</v>
      </c>
      <c r="E70" t="s">
        <v>55</v>
      </c>
      <c r="F70" t="s">
        <v>62</v>
      </c>
      <c r="G70">
        <f>$M70</f>
        <v>350000</v>
      </c>
      <c r="H70" t="s">
        <v>57</v>
      </c>
      <c r="I70" t="s">
        <v>63</v>
      </c>
      <c r="J70">
        <f>$M70</f>
        <v>350000</v>
      </c>
      <c r="K70" t="s">
        <v>57</v>
      </c>
      <c r="L70" t="s">
        <v>63</v>
      </c>
      <c r="M70">
        <f>M69+($Q69*1000)</f>
        <v>350000</v>
      </c>
      <c r="N70" t="s">
        <v>19</v>
      </c>
      <c r="O70" t="s">
        <v>40</v>
      </c>
      <c r="P70">
        <f>P69+1</f>
        <v>21</v>
      </c>
      <c r="Q70">
        <v>5</v>
      </c>
    </row>
    <row r="71" spans="1:17" x14ac:dyDescent="0.2">
      <c r="D71">
        <f>((D72-D70)/2)+D70</f>
        <v>352500</v>
      </c>
      <c r="E71" t="s">
        <v>57</v>
      </c>
    </row>
    <row r="72" spans="1:17" ht="34" x14ac:dyDescent="0.2">
      <c r="A72">
        <f>$M72</f>
        <v>355000</v>
      </c>
      <c r="B72" t="s">
        <v>57</v>
      </c>
      <c r="C72" s="1" t="s">
        <v>79</v>
      </c>
      <c r="D72">
        <f>$M72</f>
        <v>355000</v>
      </c>
      <c r="E72" t="s">
        <v>57</v>
      </c>
      <c r="F72" s="1" t="s">
        <v>79</v>
      </c>
      <c r="G72">
        <f>$M72</f>
        <v>355000</v>
      </c>
      <c r="H72" t="s">
        <v>57</v>
      </c>
      <c r="I72" s="1" t="s">
        <v>79</v>
      </c>
      <c r="J72">
        <f>$M72</f>
        <v>355000</v>
      </c>
      <c r="K72" t="s">
        <v>57</v>
      </c>
      <c r="L72" s="1" t="s">
        <v>79</v>
      </c>
      <c r="M72">
        <f>M70+($Q70*1000)</f>
        <v>355000</v>
      </c>
      <c r="N72" t="s">
        <v>19</v>
      </c>
      <c r="O72" t="s">
        <v>62</v>
      </c>
      <c r="P72">
        <f>P70+1</f>
        <v>22</v>
      </c>
      <c r="Q72">
        <v>210</v>
      </c>
    </row>
    <row r="73" spans="1:17" ht="34" x14ac:dyDescent="0.2">
      <c r="A73">
        <f>A72+($Q72*1000)</f>
        <v>565000</v>
      </c>
      <c r="B73" t="s">
        <v>19</v>
      </c>
      <c r="C73" s="1" t="s">
        <v>79</v>
      </c>
      <c r="D73">
        <f>D72+($Q72*1000)</f>
        <v>565000</v>
      </c>
      <c r="E73" t="s">
        <v>19</v>
      </c>
      <c r="F73" s="1" t="s">
        <v>79</v>
      </c>
      <c r="G73">
        <f>G72+($Q72*1000)</f>
        <v>565000</v>
      </c>
      <c r="H73" t="s">
        <v>19</v>
      </c>
      <c r="I73" s="1" t="s">
        <v>79</v>
      </c>
      <c r="J73">
        <f>J72+($Q72*1000)</f>
        <v>565000</v>
      </c>
      <c r="K73" t="s">
        <v>19</v>
      </c>
      <c r="L73" s="1" t="s">
        <v>79</v>
      </c>
      <c r="M73">
        <f>M72+($Q72*1000)</f>
        <v>565000</v>
      </c>
      <c r="N73" t="s">
        <v>19</v>
      </c>
      <c r="O73" t="s">
        <v>62</v>
      </c>
      <c r="P73">
        <f>P72+1</f>
        <v>23</v>
      </c>
      <c r="Q73">
        <v>210</v>
      </c>
    </row>
    <row r="74" spans="1:17" ht="68" x14ac:dyDescent="0.2">
      <c r="A74">
        <f>A73+($Q73*1000)</f>
        <v>775000</v>
      </c>
      <c r="B74" t="s">
        <v>60</v>
      </c>
      <c r="C74" s="1" t="s">
        <v>80</v>
      </c>
      <c r="D74">
        <f>D73+($Q73*1000)</f>
        <v>775000</v>
      </c>
      <c r="E74" t="s">
        <v>60</v>
      </c>
      <c r="F74" s="1" t="s">
        <v>80</v>
      </c>
      <c r="G74">
        <f>G73+($Q73*1000)</f>
        <v>775000</v>
      </c>
      <c r="H74" t="s">
        <v>60</v>
      </c>
      <c r="I74" s="1" t="s">
        <v>80</v>
      </c>
      <c r="J74">
        <f>J73+($Q73*1000)</f>
        <v>775000</v>
      </c>
      <c r="K74" t="s">
        <v>60</v>
      </c>
      <c r="L74" s="1" t="s">
        <v>80</v>
      </c>
      <c r="M74">
        <f>M73+($Q73*1000)</f>
        <v>775000</v>
      </c>
      <c r="N74" t="s">
        <v>60</v>
      </c>
      <c r="O74" s="1" t="s">
        <v>80</v>
      </c>
      <c r="P74">
        <f>P73+1</f>
        <v>24</v>
      </c>
      <c r="Q74">
        <v>20</v>
      </c>
    </row>
    <row r="75" spans="1:17" x14ac:dyDescent="0.2">
      <c r="A75">
        <f>A74+($Q74*1000)</f>
        <v>795000</v>
      </c>
      <c r="B75" t="s">
        <v>19</v>
      </c>
      <c r="C75" t="s">
        <v>78</v>
      </c>
      <c r="D75">
        <f>D74+($Q74*1000)</f>
        <v>795000</v>
      </c>
      <c r="E75" t="s">
        <v>19</v>
      </c>
      <c r="F75" t="s">
        <v>78</v>
      </c>
      <c r="G75">
        <f>G74+($Q74*1000)</f>
        <v>795000</v>
      </c>
      <c r="H75" t="s">
        <v>19</v>
      </c>
      <c r="I75" t="s">
        <v>78</v>
      </c>
      <c r="J75">
        <f>J74+($Q74*1000)</f>
        <v>795000</v>
      </c>
      <c r="K75" t="s">
        <v>19</v>
      </c>
      <c r="L75" t="s">
        <v>78</v>
      </c>
      <c r="M75">
        <f>M74+($Q74*1000)</f>
        <v>795000</v>
      </c>
      <c r="N75" t="s">
        <v>19</v>
      </c>
      <c r="O75" t="s">
        <v>78</v>
      </c>
      <c r="P75">
        <f>P74+1</f>
        <v>25</v>
      </c>
      <c r="Q75">
        <v>10000</v>
      </c>
    </row>
  </sheetData>
  <conditionalFormatting sqref="A1:XFD28 J29:L31 A29:I33 M29:XFD33 A34:XFD1048576 K32:L33">
    <cfRule type="containsText" dxfId="0" priority="1" operator="containsText" text="bacon">
      <formula>NOT(ISERROR(SEARCH("bacon",A1)))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L. Woo Snyder</cp:lastModifiedBy>
  <dcterms:created xsi:type="dcterms:W3CDTF">2026-04-22T19:33:42Z</dcterms:created>
  <dcterms:modified xsi:type="dcterms:W3CDTF">2026-04-24T05:05:24Z</dcterms:modified>
</cp:coreProperties>
</file>