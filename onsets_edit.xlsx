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305A3D76-5BEF-CE42-A467-C8D6CDCBFAA1}" xr6:coauthVersionLast="47" xr6:coauthVersionMax="47" xr10:uidLastSave="{00000000-0000-0000-0000-000000000000}"/>
  <bookViews>
    <workbookView xWindow="180" yWindow="840" windowWidth="30060" windowHeight="1718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1" l="1"/>
  <c r="A54" i="1"/>
  <c r="M73" i="1"/>
  <c r="J70" i="1"/>
  <c r="J82" i="1"/>
  <c r="G73" i="1"/>
  <c r="M84" i="1"/>
  <c r="M82" i="1"/>
  <c r="M68" i="1"/>
  <c r="M66" i="1"/>
  <c r="M61" i="1"/>
  <c r="M54" i="1"/>
  <c r="M42" i="1"/>
  <c r="M43" i="1" s="1"/>
  <c r="M44" i="1" s="1"/>
  <c r="M45" i="1" s="1"/>
  <c r="M46" i="1" s="1"/>
  <c r="M47" i="1" s="1"/>
  <c r="M48" i="1" s="1"/>
  <c r="M20" i="1"/>
  <c r="M27" i="1" s="1"/>
  <c r="M34" i="1" s="1"/>
  <c r="M39" i="1" s="1"/>
  <c r="J50" i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49" i="1"/>
  <c r="D49" i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J48" i="1"/>
  <c r="J47" i="1"/>
  <c r="J46" i="1"/>
  <c r="J45" i="1"/>
  <c r="J43" i="1"/>
  <c r="J44" i="1" s="1"/>
  <c r="G43" i="1"/>
  <c r="J39" i="1"/>
  <c r="J40" i="1" s="1"/>
  <c r="J41" i="1" s="1"/>
  <c r="J42" i="1" s="1"/>
  <c r="J38" i="1"/>
  <c r="J37" i="1"/>
  <c r="J36" i="1"/>
  <c r="J35" i="1"/>
  <c r="G68" i="1"/>
  <c r="D48" i="1"/>
  <c r="D47" i="1"/>
  <c r="D42" i="1"/>
  <c r="D43" i="1" s="1"/>
  <c r="D44" i="1" s="1"/>
  <c r="D45" i="1" s="1"/>
  <c r="D46" i="1" s="1"/>
  <c r="D20" i="1"/>
  <c r="D27" i="1" s="1"/>
  <c r="D34" i="1" s="1"/>
  <c r="D39" i="1" s="1"/>
  <c r="J16" i="1"/>
  <c r="A48" i="1"/>
  <c r="A47" i="1"/>
  <c r="A46" i="1"/>
  <c r="A45" i="1"/>
  <c r="A44" i="1"/>
  <c r="A43" i="1"/>
  <c r="A42" i="1"/>
  <c r="A39" i="1"/>
  <c r="A34" i="1"/>
  <c r="G37" i="1"/>
  <c r="A27" i="1"/>
  <c r="G44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36" i="1"/>
  <c r="G48" i="1"/>
  <c r="G47" i="1"/>
  <c r="G46" i="1"/>
  <c r="G45" i="1"/>
  <c r="G42" i="1"/>
  <c r="G39" i="1"/>
  <c r="J33" i="1"/>
  <c r="J31" i="1"/>
  <c r="J30" i="1"/>
  <c r="J29" i="1"/>
  <c r="M14" i="1"/>
  <c r="M13" i="1"/>
  <c r="J26" i="1"/>
  <c r="J25" i="1"/>
  <c r="J24" i="1"/>
  <c r="J23" i="1"/>
  <c r="J22" i="1"/>
  <c r="J21" i="1"/>
  <c r="J20" i="1"/>
  <c r="J19" i="1"/>
  <c r="J18" i="1"/>
  <c r="J17" i="1"/>
  <c r="J15" i="1"/>
  <c r="J14" i="1"/>
  <c r="G21" i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8" i="1" s="1"/>
  <c r="A20" i="1"/>
  <c r="G20" i="1"/>
  <c r="G19" i="1"/>
  <c r="G18" i="1"/>
  <c r="G17" i="1"/>
  <c r="G16" i="1"/>
  <c r="G15" i="1"/>
  <c r="G14" i="1"/>
  <c r="D14" i="1"/>
  <c r="A14" i="1"/>
  <c r="J13" i="1"/>
  <c r="G13" i="1"/>
  <c r="D13" i="1"/>
  <c r="A13" i="1"/>
  <c r="A58" i="1" l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<sst xmlns="http://schemas.openxmlformats.org/spreadsheetml/2006/main" count="506" uniqueCount="67">
  <si>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</si>
  <si>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</si>
  <si>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</si>
  <si>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</si>
  <si>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</si>
  <si>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</si>
  <si>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</si>
  <si>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</si>
  <si>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</si>
  <si>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</si>
  <si>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</si>
  <si>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</si>
  <si>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</si>
  <si>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</si>
  <si>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</si>
  <si>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</si>
  <si>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</si>
  <si>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</si>
  <si>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</si>
  <si>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</si>
  <si>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</si>
  <si>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</si>
  <si>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</si>
  <si>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</si>
  <si>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</si>
  <si>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</si>
  <si>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</si>
  <si>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</si>
  <si>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</si>
  <si>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</si>
  <si>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</si>
  <si>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</si>
  <si>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</si>
  <si>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</si>
  <si>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</si>
  <si>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</si>
  <si>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</si>
  <si>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</si>
  <si>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</si>
  <si>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</si>
  <si>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</si>
  <si>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</si>
  <si>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</si>
  <si>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</si>
  <si>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Tacet 1"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</si>
  <si>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</si>
  <si>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</si>
  <si>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</si>
  <si>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</si>
  <si>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</si>
  <si>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</si>
  <si>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</si>
  <si>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</si>
  <si>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</si>
  <si>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</si>
  <si>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</si>
  <si>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</si>
  <si>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</si>
  <si>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</si>
  <si>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</si>
  <si>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</si>
  <si>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</si>
  <si>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</si>
  <si>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PLAY</t>
  </si>
  <si>
    <t>bacon01rise</t>
  </si>
  <si>
    <t>Tacet 6"</t>
  </si>
  <si>
    <t>IS THIS VALUE BELOW CORRECT???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</si>
</sst>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4"/>
  <sheetViews>
    <sheetView tabSelected="1" topLeftCell="A28" zoomScale="106" workbookViewId="0">
      <selection activeCell="A57" sqref="A57"/>
    </sheetView>
  </sheetViews>
  <sheetFormatPr baseColWidth="10" defaultRowHeight="16" x14ac:dyDescent="0.2"/>
  <cols>
    <col min="3" max="3" width="26.6640625" bestFit="1" customWidth="1"/>
    <col min="6" max="6" width="17.83203125" bestFit="1" customWidth="1"/>
    <col min="7" max="7" width="10.83203125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64</v>
      </c>
      <c r="D12">
        <v>10000</v>
      </c>
      <c r="E12" t="s">
        <v>64</v>
      </c>
      <c r="G12">
        <v>10000</v>
      </c>
      <c r="H12" t="s">
        <v>64</v>
      </c>
      <c r="J12">
        <v>10000</v>
      </c>
      <c r="K12" t="s">
        <v>64</v>
      </c>
      <c r="M12">
        <v>10000</v>
      </c>
      <c r="N12" t="s">
        <v>64</v>
      </c>
      <c r="P12">
        <v>2</v>
      </c>
      <c r="Q12">
        <v>60</v>
      </c>
    </row>
    <row r="13" spans="1:19" x14ac:dyDescent="0.2">
      <c r="A13">
        <f>A12+($Q12*1000)</f>
        <v>70000</v>
      </c>
      <c r="B13" t="s">
        <v>19</v>
      </c>
      <c r="C13" t="s">
        <v>65</v>
      </c>
      <c r="D13">
        <f>D12+($Q12*1000)</f>
        <v>70000</v>
      </c>
      <c r="E13" t="s">
        <v>19</v>
      </c>
      <c r="F13" t="s">
        <v>65</v>
      </c>
      <c r="G13">
        <f>G12+($Q12*1000)</f>
        <v>70000</v>
      </c>
      <c r="H13" t="s">
        <v>19</v>
      </c>
      <c r="I13" t="s">
        <v>65</v>
      </c>
      <c r="J13">
        <f>J12+($Q12*1000)</f>
        <v>70000</v>
      </c>
      <c r="K13" t="s">
        <v>19</v>
      </c>
      <c r="L13" t="s">
        <v>65</v>
      </c>
      <c r="M13">
        <f>M12+($Q12*1000)</f>
        <v>70000</v>
      </c>
      <c r="N13" t="s">
        <v>19</v>
      </c>
      <c r="O13" t="s">
        <v>65</v>
      </c>
      <c r="P13">
        <v>3</v>
      </c>
      <c r="Q13">
        <v>6</v>
      </c>
    </row>
    <row r="14" spans="1:19" x14ac:dyDescent="0.2">
      <c r="A14">
        <f>A13+($Q13*1000)</f>
        <v>76000</v>
      </c>
      <c r="B14" t="s">
        <v>19</v>
      </c>
      <c r="C14" t="s">
        <v>30</v>
      </c>
      <c r="D14">
        <f>D13+($Q13*1000)</f>
        <v>76000</v>
      </c>
      <c r="E14" t="s">
        <v>19</v>
      </c>
      <c r="F14" t="s">
        <v>30</v>
      </c>
      <c r="G14">
        <f>G13+($Q13*1000)</f>
        <v>76000</v>
      </c>
      <c r="H14" t="s">
        <v>31</v>
      </c>
      <c r="I14" t="s">
        <v>32</v>
      </c>
      <c r="J14">
        <f>J13+($Q13*1000)</f>
        <v>76000</v>
      </c>
      <c r="K14" t="s">
        <v>31</v>
      </c>
      <c r="L14" t="s">
        <v>33</v>
      </c>
      <c r="M14">
        <f>M13+($Q13*1000)</f>
        <v>76000</v>
      </c>
      <c r="N14" t="s">
        <v>19</v>
      </c>
      <c r="O14" t="s">
        <v>30</v>
      </c>
      <c r="P14">
        <v>4</v>
      </c>
      <c r="Q14">
        <v>24</v>
      </c>
    </row>
    <row r="15" spans="1:19" x14ac:dyDescent="0.2">
      <c r="G15">
        <f t="shared" ref="G15:G20" si="0">G14+($S$2)</f>
        <v>80000</v>
      </c>
      <c r="H15" t="s">
        <v>19</v>
      </c>
      <c r="I15" t="s">
        <v>34</v>
      </c>
      <c r="J15">
        <f t="shared" ref="J15:J26" si="1">J14+($S$2*(1+$R$2))</f>
        <v>80050</v>
      </c>
      <c r="K15" t="s">
        <v>19</v>
      </c>
      <c r="L15" t="s">
        <v>35</v>
      </c>
    </row>
    <row r="16" spans="1:19" x14ac:dyDescent="0.2">
      <c r="G16">
        <f t="shared" si="0"/>
        <v>84000</v>
      </c>
      <c r="H16" t="s">
        <v>31</v>
      </c>
      <c r="I16" t="s">
        <v>32</v>
      </c>
      <c r="J16">
        <f t="shared" si="1"/>
        <v>84100</v>
      </c>
      <c r="K16" t="s">
        <v>31</v>
      </c>
      <c r="L16" t="s">
        <v>33</v>
      </c>
    </row>
    <row r="17" spans="1:17" x14ac:dyDescent="0.2">
      <c r="G17">
        <f t="shared" si="0"/>
        <v>88000</v>
      </c>
      <c r="H17" t="s">
        <v>19</v>
      </c>
      <c r="I17" t="s">
        <v>34</v>
      </c>
      <c r="J17">
        <f t="shared" si="1"/>
        <v>88150</v>
      </c>
      <c r="K17" t="s">
        <v>19</v>
      </c>
      <c r="L17" t="s">
        <v>35</v>
      </c>
    </row>
    <row r="18" spans="1:17" x14ac:dyDescent="0.2">
      <c r="G18">
        <f t="shared" si="0"/>
        <v>92000</v>
      </c>
      <c r="H18" t="s">
        <v>31</v>
      </c>
      <c r="I18" t="s">
        <v>32</v>
      </c>
      <c r="J18">
        <f t="shared" si="1"/>
        <v>92200</v>
      </c>
      <c r="K18" t="s">
        <v>31</v>
      </c>
      <c r="L18" t="s">
        <v>33</v>
      </c>
    </row>
    <row r="19" spans="1:17" x14ac:dyDescent="0.2">
      <c r="G19">
        <f t="shared" si="0"/>
        <v>96000</v>
      </c>
      <c r="H19" t="s">
        <v>19</v>
      </c>
      <c r="I19" t="s">
        <v>34</v>
      </c>
      <c r="J19">
        <f t="shared" si="1"/>
        <v>96250</v>
      </c>
      <c r="K19" t="s">
        <v>19</v>
      </c>
      <c r="L19" t="s">
        <v>35</v>
      </c>
    </row>
    <row r="20" spans="1:17" x14ac:dyDescent="0.2">
      <c r="A20">
        <f>A14+($Q14*1000)</f>
        <v>100000</v>
      </c>
      <c r="B20" t="s">
        <v>19</v>
      </c>
      <c r="C20" t="s">
        <v>36</v>
      </c>
      <c r="D20">
        <f>D14+($Q14*1000)</f>
        <v>100000</v>
      </c>
      <c r="E20" t="s">
        <v>19</v>
      </c>
      <c r="F20" t="s">
        <v>36</v>
      </c>
      <c r="G20">
        <f t="shared" si="0"/>
        <v>100000</v>
      </c>
      <c r="H20" t="s">
        <v>31</v>
      </c>
      <c r="I20" t="s">
        <v>32</v>
      </c>
      <c r="J20">
        <f t="shared" si="1"/>
        <v>100300</v>
      </c>
      <c r="K20" t="s">
        <v>31</v>
      </c>
      <c r="L20" t="s">
        <v>33</v>
      </c>
      <c r="M20">
        <f>M14+($Q14*1000)</f>
        <v>100000</v>
      </c>
      <c r="N20" t="s">
        <v>19</v>
      </c>
      <c r="O20" t="s">
        <v>36</v>
      </c>
      <c r="P20">
        <v>5</v>
      </c>
      <c r="Q20">
        <v>28</v>
      </c>
    </row>
    <row r="21" spans="1:17" x14ac:dyDescent="0.2">
      <c r="G21">
        <f t="shared" ref="G21:G39" si="2">G20+($S$2)</f>
        <v>104000</v>
      </c>
      <c r="H21" t="s">
        <v>19</v>
      </c>
      <c r="I21" t="s">
        <v>34</v>
      </c>
      <c r="J21">
        <f t="shared" si="1"/>
        <v>104350</v>
      </c>
      <c r="K21" t="s">
        <v>19</v>
      </c>
      <c r="L21" t="s">
        <v>35</v>
      </c>
    </row>
    <row r="22" spans="1:17" x14ac:dyDescent="0.2">
      <c r="G22">
        <f t="shared" si="2"/>
        <v>108000</v>
      </c>
      <c r="H22" t="s">
        <v>31</v>
      </c>
      <c r="I22" t="s">
        <v>32</v>
      </c>
      <c r="J22">
        <f t="shared" si="1"/>
        <v>108400</v>
      </c>
      <c r="K22" t="s">
        <v>31</v>
      </c>
      <c r="L22" t="s">
        <v>33</v>
      </c>
    </row>
    <row r="23" spans="1:17" x14ac:dyDescent="0.2">
      <c r="G23">
        <f t="shared" si="2"/>
        <v>112000</v>
      </c>
      <c r="H23" t="s">
        <v>19</v>
      </c>
      <c r="I23" t="s">
        <v>34</v>
      </c>
      <c r="J23">
        <f t="shared" si="1"/>
        <v>112450</v>
      </c>
      <c r="K23" t="s">
        <v>19</v>
      </c>
      <c r="L23" t="s">
        <v>35</v>
      </c>
    </row>
    <row r="24" spans="1:17" x14ac:dyDescent="0.2">
      <c r="G24">
        <f t="shared" si="2"/>
        <v>116000</v>
      </c>
      <c r="H24" t="s">
        <v>31</v>
      </c>
      <c r="I24" t="s">
        <v>32</v>
      </c>
      <c r="J24">
        <f t="shared" si="1"/>
        <v>116500</v>
      </c>
      <c r="K24" t="s">
        <v>31</v>
      </c>
      <c r="L24" t="s">
        <v>33</v>
      </c>
    </row>
    <row r="25" spans="1:17" x14ac:dyDescent="0.2">
      <c r="G25">
        <f t="shared" si="2"/>
        <v>120000</v>
      </c>
      <c r="H25" t="s">
        <v>19</v>
      </c>
      <c r="I25" t="s">
        <v>34</v>
      </c>
      <c r="J25">
        <f t="shared" si="1"/>
        <v>120550</v>
      </c>
      <c r="K25" t="s">
        <v>19</v>
      </c>
      <c r="L25" t="s">
        <v>35</v>
      </c>
    </row>
    <row r="26" spans="1:17" x14ac:dyDescent="0.2">
      <c r="G26">
        <f t="shared" si="2"/>
        <v>124000</v>
      </c>
      <c r="H26" t="s">
        <v>31</v>
      </c>
      <c r="I26" t="s">
        <v>32</v>
      </c>
      <c r="J26">
        <f t="shared" si="1"/>
        <v>124600</v>
      </c>
      <c r="K26" t="s">
        <v>31</v>
      </c>
      <c r="L26" t="s">
        <v>37</v>
      </c>
    </row>
    <row r="27" spans="1:17" x14ac:dyDescent="0.2">
      <c r="A27">
        <f>A20+($Q20*1000)</f>
        <v>128000</v>
      </c>
      <c r="B27" t="s">
        <v>19</v>
      </c>
      <c r="C27" t="s">
        <v>36</v>
      </c>
      <c r="D27">
        <f>D20+($Q20*1000)</f>
        <v>128000</v>
      </c>
      <c r="E27" t="s">
        <v>19</v>
      </c>
      <c r="F27" t="s">
        <v>36</v>
      </c>
      <c r="G27">
        <f t="shared" si="2"/>
        <v>128000</v>
      </c>
      <c r="H27" t="s">
        <v>19</v>
      </c>
      <c r="I27" t="s">
        <v>34</v>
      </c>
      <c r="M27">
        <f>M20+($Q20*1000)</f>
        <v>128000</v>
      </c>
      <c r="N27" t="s">
        <v>19</v>
      </c>
      <c r="O27" t="s">
        <v>36</v>
      </c>
      <c r="P27">
        <v>6</v>
      </c>
      <c r="Q27">
        <v>28</v>
      </c>
    </row>
    <row r="28" spans="1:17" x14ac:dyDescent="0.2">
      <c r="G28">
        <f t="shared" si="2"/>
        <v>132000</v>
      </c>
      <c r="H28" t="s">
        <v>31</v>
      </c>
      <c r="I28" t="s">
        <v>32</v>
      </c>
    </row>
    <row r="29" spans="1:17" x14ac:dyDescent="0.2">
      <c r="G29">
        <f t="shared" si="2"/>
        <v>136000</v>
      </c>
      <c r="H29" t="s">
        <v>19</v>
      </c>
      <c r="I29" t="s">
        <v>34</v>
      </c>
      <c r="J29">
        <f>J26+(11000)</f>
        <v>135600</v>
      </c>
      <c r="K29" t="s">
        <v>19</v>
      </c>
      <c r="L29" t="s">
        <v>38</v>
      </c>
    </row>
    <row r="30" spans="1:17" x14ac:dyDescent="0.2">
      <c r="G30">
        <f t="shared" si="2"/>
        <v>140000</v>
      </c>
      <c r="H30" t="s">
        <v>31</v>
      </c>
      <c r="I30" t="s">
        <v>32</v>
      </c>
      <c r="J30">
        <f>J29+2000</f>
        <v>137600</v>
      </c>
      <c r="K30" t="s">
        <v>31</v>
      </c>
      <c r="L30" t="s">
        <v>39</v>
      </c>
    </row>
    <row r="31" spans="1:17" x14ac:dyDescent="0.2">
      <c r="G31">
        <f t="shared" si="2"/>
        <v>144000</v>
      </c>
      <c r="H31" t="s">
        <v>19</v>
      </c>
      <c r="I31" t="s">
        <v>34</v>
      </c>
      <c r="J31">
        <f>J30+4000</f>
        <v>141600</v>
      </c>
      <c r="K31" t="s">
        <v>19</v>
      </c>
      <c r="L31" t="s">
        <v>38</v>
      </c>
    </row>
    <row r="32" spans="1:17" x14ac:dyDescent="0.2">
      <c r="G32">
        <f t="shared" si="2"/>
        <v>148000</v>
      </c>
      <c r="H32" t="s">
        <v>31</v>
      </c>
      <c r="I32" t="s">
        <v>32</v>
      </c>
    </row>
    <row r="33" spans="1:18" x14ac:dyDescent="0.2">
      <c r="G33">
        <f t="shared" si="2"/>
        <v>152000</v>
      </c>
      <c r="H33" t="s">
        <v>19</v>
      </c>
      <c r="I33" t="s">
        <v>34</v>
      </c>
      <c r="J33">
        <f>J31+11000</f>
        <v>152600</v>
      </c>
      <c r="K33" t="s">
        <v>19</v>
      </c>
      <c r="L33" t="s">
        <v>34</v>
      </c>
    </row>
    <row r="34" spans="1:18" x14ac:dyDescent="0.2">
      <c r="A34">
        <f>A27+($Q27*1000)</f>
        <v>156000</v>
      </c>
      <c r="B34" t="s">
        <v>19</v>
      </c>
      <c r="C34" t="s">
        <v>40</v>
      </c>
      <c r="D34">
        <f>D27+($Q27*1000)</f>
        <v>156000</v>
      </c>
      <c r="E34" t="s">
        <v>19</v>
      </c>
      <c r="F34" t="s">
        <v>40</v>
      </c>
      <c r="G34">
        <f t="shared" si="2"/>
        <v>156000</v>
      </c>
      <c r="H34" t="s">
        <v>31</v>
      </c>
      <c r="I34" t="s">
        <v>32</v>
      </c>
      <c r="M34">
        <f>M27+($Q27*1000)</f>
        <v>156000</v>
      </c>
      <c r="N34" t="s">
        <v>19</v>
      </c>
      <c r="O34" t="s">
        <v>40</v>
      </c>
      <c r="P34">
        <v>7</v>
      </c>
      <c r="Q34">
        <v>12</v>
      </c>
    </row>
    <row r="35" spans="1:18" x14ac:dyDescent="0.2">
      <c r="G35">
        <f t="shared" si="2"/>
        <v>160000</v>
      </c>
      <c r="H35" t="s">
        <v>19</v>
      </c>
      <c r="I35" t="s">
        <v>34</v>
      </c>
      <c r="J35">
        <f>G35</f>
        <v>160000</v>
      </c>
      <c r="K35" t="s">
        <v>31</v>
      </c>
      <c r="L35" t="s">
        <v>32</v>
      </c>
    </row>
    <row r="36" spans="1:18" x14ac:dyDescent="0.2">
      <c r="G36">
        <f>G35+($S$2)</f>
        <v>164000</v>
      </c>
      <c r="H36" t="s">
        <v>31</v>
      </c>
      <c r="I36" t="s">
        <v>32</v>
      </c>
      <c r="J36">
        <f>J35+($S$2)</f>
        <v>164000</v>
      </c>
      <c r="K36" t="s">
        <v>19</v>
      </c>
      <c r="L36" t="s">
        <v>34</v>
      </c>
    </row>
    <row r="37" spans="1:18" x14ac:dyDescent="0.2">
      <c r="G37">
        <f>G36+($S$2)</f>
        <v>168000</v>
      </c>
      <c r="H37" t="s">
        <v>19</v>
      </c>
      <c r="I37" t="s">
        <v>34</v>
      </c>
      <c r="J37">
        <f>J36+($S$2)</f>
        <v>168000</v>
      </c>
      <c r="K37" t="s">
        <v>31</v>
      </c>
      <c r="L37" t="s">
        <v>32</v>
      </c>
    </row>
    <row r="38" spans="1:18" x14ac:dyDescent="0.2">
      <c r="G38">
        <f t="shared" si="2"/>
        <v>172000</v>
      </c>
      <c r="H38" t="s">
        <v>31</v>
      </c>
      <c r="I38" t="s">
        <v>32</v>
      </c>
      <c r="J38">
        <f>J37+($S$2)</f>
        <v>172000</v>
      </c>
      <c r="K38" t="s">
        <v>19</v>
      </c>
      <c r="L38" t="s">
        <v>34</v>
      </c>
    </row>
    <row r="39" spans="1:18" x14ac:dyDescent="0.2">
      <c r="A39">
        <f>A34+($Q34*1000)</f>
        <v>168000</v>
      </c>
      <c r="B39" t="s">
        <v>19</v>
      </c>
      <c r="C39" t="s">
        <v>41</v>
      </c>
      <c r="D39">
        <f>D34+($Q34*1000)</f>
        <v>168000</v>
      </c>
      <c r="E39" t="s">
        <v>19</v>
      </c>
      <c r="F39" t="s">
        <v>41</v>
      </c>
      <c r="G39">
        <f t="shared" si="2"/>
        <v>176000</v>
      </c>
      <c r="H39" t="s">
        <v>19</v>
      </c>
      <c r="I39" t="s">
        <v>42</v>
      </c>
      <c r="J39">
        <f>J38+($S$2)</f>
        <v>176000</v>
      </c>
      <c r="K39" t="s">
        <v>31</v>
      </c>
      <c r="L39" t="s">
        <v>39</v>
      </c>
      <c r="M39">
        <f>M34+($Q34*1000)</f>
        <v>168000</v>
      </c>
      <c r="N39" t="s">
        <v>19</v>
      </c>
      <c r="O39" t="s">
        <v>41</v>
      </c>
      <c r="P39">
        <v>8</v>
      </c>
      <c r="Q39">
        <v>10</v>
      </c>
    </row>
    <row r="40" spans="1:18" x14ac:dyDescent="0.2">
      <c r="J40">
        <f>J39+1000</f>
        <v>177000</v>
      </c>
      <c r="K40" t="s">
        <v>19</v>
      </c>
      <c r="L40" t="s">
        <v>38</v>
      </c>
    </row>
    <row r="41" spans="1:18" x14ac:dyDescent="0.2">
      <c r="J41">
        <f>J40+3000</f>
        <v>180000</v>
      </c>
      <c r="K41" t="s">
        <v>31</v>
      </c>
      <c r="L41" t="s">
        <v>39</v>
      </c>
    </row>
    <row r="42" spans="1:18" x14ac:dyDescent="0.2">
      <c r="A42">
        <f>A39+($Q39*1000)</f>
        <v>178000</v>
      </c>
      <c r="B42" t="s">
        <v>19</v>
      </c>
      <c r="C42" t="s">
        <v>44</v>
      </c>
      <c r="D42">
        <f>D39+($Q39*1000)</f>
        <v>178000</v>
      </c>
      <c r="E42" t="s">
        <v>19</v>
      </c>
      <c r="F42" t="s">
        <v>65</v>
      </c>
      <c r="G42">
        <f>G39+Q39*1000</f>
        <v>186000</v>
      </c>
      <c r="H42" t="s">
        <v>31</v>
      </c>
      <c r="I42" t="s">
        <v>43</v>
      </c>
      <c r="J42">
        <f>J41+6000</f>
        <v>186000</v>
      </c>
      <c r="K42" t="s">
        <v>19</v>
      </c>
      <c r="L42" t="s">
        <v>43</v>
      </c>
      <c r="M42">
        <f>M39+($Q39*1000)</f>
        <v>178000</v>
      </c>
      <c r="N42" t="s">
        <v>19</v>
      </c>
      <c r="O42" t="s">
        <v>65</v>
      </c>
      <c r="P42">
        <v>9</v>
      </c>
      <c r="Q42">
        <v>6</v>
      </c>
      <c r="R42" t="s">
        <v>45</v>
      </c>
    </row>
    <row r="43" spans="1:18" x14ac:dyDescent="0.2">
      <c r="A43">
        <f t="shared" ref="A43:A48" si="3">A42+($Q42*1000)</f>
        <v>184000</v>
      </c>
      <c r="B43" t="s">
        <v>19</v>
      </c>
      <c r="C43" t="s">
        <v>46</v>
      </c>
      <c r="D43">
        <f t="shared" ref="D43:D48" si="4">D42+($Q42*1000)</f>
        <v>184000</v>
      </c>
      <c r="E43" t="s">
        <v>19</v>
      </c>
      <c r="F43" t="s">
        <v>46</v>
      </c>
      <c r="G43">
        <f t="shared" ref="G43:G48" si="5">G42+$Q42*1000</f>
        <v>192000</v>
      </c>
      <c r="H43" t="s">
        <v>60</v>
      </c>
      <c r="J43">
        <f t="shared" ref="J43:J48" si="6">J42+$Q42*1000</f>
        <v>192000</v>
      </c>
      <c r="K43" t="s">
        <v>60</v>
      </c>
      <c r="M43">
        <f t="shared" ref="M43:M48" si="7">M42+($Q42*1000)</f>
        <v>184000</v>
      </c>
      <c r="N43" t="s">
        <v>19</v>
      </c>
      <c r="O43" t="s">
        <v>46</v>
      </c>
      <c r="P43">
        <v>10</v>
      </c>
      <c r="Q43">
        <v>35</v>
      </c>
    </row>
    <row r="44" spans="1:18" x14ac:dyDescent="0.2">
      <c r="A44">
        <f t="shared" si="3"/>
        <v>219000</v>
      </c>
      <c r="B44" t="s">
        <v>19</v>
      </c>
      <c r="C44" t="s">
        <v>47</v>
      </c>
      <c r="D44">
        <f t="shared" si="4"/>
        <v>219000</v>
      </c>
      <c r="E44" t="s">
        <v>19</v>
      </c>
      <c r="F44" t="s">
        <v>47</v>
      </c>
      <c r="G44">
        <f t="shared" si="5"/>
        <v>227000</v>
      </c>
      <c r="H44" t="s">
        <v>62</v>
      </c>
      <c r="J44">
        <f t="shared" si="6"/>
        <v>227000</v>
      </c>
      <c r="K44" t="s">
        <v>62</v>
      </c>
      <c r="M44">
        <f t="shared" si="7"/>
        <v>219000</v>
      </c>
      <c r="N44" t="s">
        <v>19</v>
      </c>
      <c r="O44" t="s">
        <v>47</v>
      </c>
      <c r="P44">
        <v>11</v>
      </c>
      <c r="Q44">
        <v>21</v>
      </c>
    </row>
    <row r="45" spans="1:18" x14ac:dyDescent="0.2">
      <c r="A45">
        <f t="shared" si="3"/>
        <v>240000</v>
      </c>
      <c r="B45" t="s">
        <v>19</v>
      </c>
      <c r="C45" t="s">
        <v>48</v>
      </c>
      <c r="D45">
        <f t="shared" si="4"/>
        <v>240000</v>
      </c>
      <c r="E45" t="s">
        <v>19</v>
      </c>
      <c r="F45" t="s">
        <v>48</v>
      </c>
      <c r="G45">
        <f t="shared" si="5"/>
        <v>248000</v>
      </c>
      <c r="H45" t="s">
        <v>62</v>
      </c>
      <c r="J45">
        <f t="shared" si="6"/>
        <v>248000</v>
      </c>
      <c r="K45" t="s">
        <v>31</v>
      </c>
      <c r="L45" t="s">
        <v>49</v>
      </c>
      <c r="M45">
        <f t="shared" si="7"/>
        <v>240000</v>
      </c>
      <c r="N45" t="s">
        <v>19</v>
      </c>
      <c r="O45" t="s">
        <v>48</v>
      </c>
      <c r="P45">
        <v>12</v>
      </c>
      <c r="Q45">
        <v>4</v>
      </c>
    </row>
    <row r="46" spans="1:18" x14ac:dyDescent="0.2">
      <c r="A46">
        <f t="shared" si="3"/>
        <v>244000</v>
      </c>
      <c r="B46" t="s">
        <v>19</v>
      </c>
      <c r="C46" t="s">
        <v>48</v>
      </c>
      <c r="D46">
        <f t="shared" si="4"/>
        <v>244000</v>
      </c>
      <c r="E46" t="s">
        <v>19</v>
      </c>
      <c r="F46" t="s">
        <v>48</v>
      </c>
      <c r="G46">
        <f t="shared" si="5"/>
        <v>252000</v>
      </c>
      <c r="H46" t="s">
        <v>31</v>
      </c>
      <c r="I46" t="s">
        <v>49</v>
      </c>
      <c r="J46">
        <f t="shared" si="6"/>
        <v>252000</v>
      </c>
      <c r="K46" t="s">
        <v>31</v>
      </c>
      <c r="L46" t="s">
        <v>49</v>
      </c>
      <c r="M46">
        <f t="shared" si="7"/>
        <v>244000</v>
      </c>
      <c r="N46" t="s">
        <v>19</v>
      </c>
      <c r="O46" t="s">
        <v>48</v>
      </c>
      <c r="P46">
        <v>13</v>
      </c>
      <c r="Q46">
        <v>4</v>
      </c>
    </row>
    <row r="47" spans="1:18" x14ac:dyDescent="0.2">
      <c r="A47">
        <f t="shared" si="3"/>
        <v>248000</v>
      </c>
      <c r="B47" t="s">
        <v>19</v>
      </c>
      <c r="C47" t="s">
        <v>50</v>
      </c>
      <c r="D47">
        <f t="shared" si="4"/>
        <v>248000</v>
      </c>
      <c r="E47" t="s">
        <v>19</v>
      </c>
      <c r="F47" t="s">
        <v>50</v>
      </c>
      <c r="G47">
        <f t="shared" si="5"/>
        <v>256000</v>
      </c>
      <c r="H47" t="s">
        <v>31</v>
      </c>
      <c r="I47" t="s">
        <v>51</v>
      </c>
      <c r="J47">
        <f t="shared" si="6"/>
        <v>256000</v>
      </c>
      <c r="K47" t="s">
        <v>31</v>
      </c>
      <c r="L47" t="s">
        <v>51</v>
      </c>
      <c r="M47">
        <f t="shared" si="7"/>
        <v>248000</v>
      </c>
      <c r="N47" t="s">
        <v>19</v>
      </c>
      <c r="O47" t="s">
        <v>50</v>
      </c>
      <c r="P47">
        <v>14</v>
      </c>
      <c r="Q47">
        <v>2</v>
      </c>
    </row>
    <row r="48" spans="1:18" x14ac:dyDescent="0.2">
      <c r="A48">
        <f t="shared" si="3"/>
        <v>250000</v>
      </c>
      <c r="B48" t="s">
        <v>19</v>
      </c>
      <c r="C48" t="s">
        <v>30</v>
      </c>
      <c r="D48">
        <f t="shared" si="4"/>
        <v>250000</v>
      </c>
      <c r="E48" t="s">
        <v>31</v>
      </c>
      <c r="F48" t="s">
        <v>52</v>
      </c>
      <c r="G48">
        <f t="shared" si="5"/>
        <v>258000</v>
      </c>
      <c r="H48" t="s">
        <v>31</v>
      </c>
      <c r="I48" t="s">
        <v>32</v>
      </c>
      <c r="J48">
        <f t="shared" si="6"/>
        <v>258000</v>
      </c>
      <c r="K48" t="s">
        <v>31</v>
      </c>
      <c r="L48" t="s">
        <v>33</v>
      </c>
      <c r="M48">
        <f t="shared" si="7"/>
        <v>250000</v>
      </c>
      <c r="N48" t="s">
        <v>19</v>
      </c>
      <c r="O48" t="s">
        <v>30</v>
      </c>
      <c r="P48">
        <v>15</v>
      </c>
      <c r="Q48">
        <v>24</v>
      </c>
    </row>
    <row r="49" spans="1:17" x14ac:dyDescent="0.2">
      <c r="D49">
        <f>D48+($S$2*(1-$R$2))</f>
        <v>253950</v>
      </c>
      <c r="E49" t="s">
        <v>19</v>
      </c>
      <c r="F49" t="s">
        <v>53</v>
      </c>
      <c r="G49">
        <f t="shared" ref="G49:G66" si="8">G48+($S$2)</f>
        <v>262000</v>
      </c>
      <c r="H49" t="s">
        <v>19</v>
      </c>
      <c r="I49" t="s">
        <v>34</v>
      </c>
      <c r="J49">
        <f>J48+($S$2*(1+$R$2))</f>
        <v>262050</v>
      </c>
      <c r="K49" t="s">
        <v>19</v>
      </c>
      <c r="L49" t="s">
        <v>35</v>
      </c>
    </row>
    <row r="50" spans="1:17" x14ac:dyDescent="0.2">
      <c r="D50">
        <f>D49+($S$2*(1-$R$2))</f>
        <v>257900</v>
      </c>
      <c r="E50" t="s">
        <v>31</v>
      </c>
      <c r="F50" t="s">
        <v>52</v>
      </c>
      <c r="G50">
        <f t="shared" si="8"/>
        <v>266000</v>
      </c>
      <c r="H50" t="s">
        <v>31</v>
      </c>
      <c r="I50" t="s">
        <v>32</v>
      </c>
      <c r="J50">
        <f t="shared" ref="J50:J69" si="9">J49+($S$2*(1+$R$2))</f>
        <v>266100</v>
      </c>
      <c r="K50" t="s">
        <v>31</v>
      </c>
      <c r="L50" t="s">
        <v>33</v>
      </c>
    </row>
    <row r="51" spans="1:17" x14ac:dyDescent="0.2">
      <c r="D51">
        <f t="shared" ref="D51:D72" si="10">D50+($S$2*(1-$R$2))</f>
        <v>261850</v>
      </c>
      <c r="E51" t="s">
        <v>19</v>
      </c>
      <c r="F51" t="s">
        <v>53</v>
      </c>
      <c r="G51">
        <f t="shared" si="8"/>
        <v>270000</v>
      </c>
      <c r="H51" t="s">
        <v>19</v>
      </c>
      <c r="I51" t="s">
        <v>34</v>
      </c>
      <c r="J51">
        <f t="shared" si="9"/>
        <v>270150</v>
      </c>
      <c r="K51" t="s">
        <v>19</v>
      </c>
      <c r="L51" t="s">
        <v>35</v>
      </c>
    </row>
    <row r="52" spans="1:17" x14ac:dyDescent="0.2">
      <c r="D52">
        <f t="shared" si="10"/>
        <v>265800</v>
      </c>
      <c r="E52" t="s">
        <v>31</v>
      </c>
      <c r="F52" t="s">
        <v>52</v>
      </c>
      <c r="G52">
        <f t="shared" si="8"/>
        <v>274000</v>
      </c>
      <c r="H52" t="s">
        <v>31</v>
      </c>
      <c r="I52" t="s">
        <v>32</v>
      </c>
      <c r="J52">
        <f t="shared" si="9"/>
        <v>274200</v>
      </c>
      <c r="K52" t="s">
        <v>31</v>
      </c>
      <c r="L52" t="s">
        <v>33</v>
      </c>
    </row>
    <row r="53" spans="1:17" x14ac:dyDescent="0.2">
      <c r="D53">
        <f t="shared" si="10"/>
        <v>269750</v>
      </c>
      <c r="E53" t="s">
        <v>19</v>
      </c>
      <c r="F53" t="s">
        <v>53</v>
      </c>
      <c r="G53">
        <f t="shared" si="8"/>
        <v>278000</v>
      </c>
      <c r="H53" t="s">
        <v>19</v>
      </c>
      <c r="I53" t="s">
        <v>34</v>
      </c>
      <c r="J53">
        <f t="shared" si="9"/>
        <v>278250</v>
      </c>
      <c r="K53" t="s">
        <v>19</v>
      </c>
      <c r="L53" t="s">
        <v>35</v>
      </c>
    </row>
    <row r="54" spans="1:17" x14ac:dyDescent="0.2">
      <c r="A54">
        <f>A48+(Q48*1000)-((G53-D54)*0.5)</f>
        <v>271850</v>
      </c>
      <c r="B54" t="s">
        <v>31</v>
      </c>
      <c r="C54" t="s">
        <v>39</v>
      </c>
      <c r="D54">
        <f t="shared" si="10"/>
        <v>273700</v>
      </c>
      <c r="E54" t="s">
        <v>31</v>
      </c>
      <c r="F54" t="s">
        <v>52</v>
      </c>
      <c r="G54">
        <f t="shared" si="8"/>
        <v>282000</v>
      </c>
      <c r="H54" t="s">
        <v>31</v>
      </c>
      <c r="I54" t="s">
        <v>32</v>
      </c>
      <c r="J54">
        <f t="shared" si="9"/>
        <v>282300</v>
      </c>
      <c r="K54" t="s">
        <v>31</v>
      </c>
      <c r="L54" t="s">
        <v>33</v>
      </c>
      <c r="M54">
        <f>M48+($Q48*1000)</f>
        <v>274000</v>
      </c>
      <c r="N54" t="s">
        <v>19</v>
      </c>
      <c r="O54" t="s">
        <v>36</v>
      </c>
      <c r="P54">
        <v>16</v>
      </c>
      <c r="Q54">
        <v>28</v>
      </c>
    </row>
    <row r="55" spans="1:17" x14ac:dyDescent="0.2">
      <c r="D55">
        <f t="shared" si="10"/>
        <v>277650</v>
      </c>
      <c r="E55" t="s">
        <v>19</v>
      </c>
      <c r="F55" t="s">
        <v>53</v>
      </c>
      <c r="G55">
        <f t="shared" si="8"/>
        <v>286000</v>
      </c>
      <c r="H55" t="s">
        <v>19</v>
      </c>
      <c r="I55" t="s">
        <v>34</v>
      </c>
      <c r="J55">
        <f t="shared" si="9"/>
        <v>286350</v>
      </c>
      <c r="K55" t="s">
        <v>19</v>
      </c>
      <c r="L55" t="s">
        <v>35</v>
      </c>
    </row>
    <row r="56" spans="1:17" x14ac:dyDescent="0.2">
      <c r="A56" t="s">
        <v>66</v>
      </c>
      <c r="D56">
        <f t="shared" si="10"/>
        <v>281600</v>
      </c>
      <c r="E56" t="s">
        <v>31</v>
      </c>
      <c r="F56" t="s">
        <v>52</v>
      </c>
      <c r="G56">
        <f t="shared" si="8"/>
        <v>290000</v>
      </c>
      <c r="H56" t="s">
        <v>31</v>
      </c>
      <c r="I56" t="s">
        <v>32</v>
      </c>
      <c r="J56">
        <f t="shared" si="9"/>
        <v>290400</v>
      </c>
      <c r="K56" t="s">
        <v>31</v>
      </c>
      <c r="L56" t="s">
        <v>33</v>
      </c>
    </row>
    <row r="57" spans="1:17" x14ac:dyDescent="0.2">
      <c r="A57">
        <f>G48+($S$2*(1-$R$2*2))*10</f>
        <v>297000</v>
      </c>
      <c r="B57" t="s">
        <v>19</v>
      </c>
      <c r="C57" t="s">
        <v>54</v>
      </c>
      <c r="D57">
        <f t="shared" si="10"/>
        <v>285550</v>
      </c>
      <c r="E57" t="s">
        <v>19</v>
      </c>
      <c r="F57" t="s">
        <v>53</v>
      </c>
      <c r="G57">
        <f t="shared" si="8"/>
        <v>294000</v>
      </c>
      <c r="H57" t="s">
        <v>19</v>
      </c>
      <c r="I57" t="s">
        <v>34</v>
      </c>
      <c r="J57">
        <f t="shared" si="9"/>
        <v>294450</v>
      </c>
      <c r="K57" t="s">
        <v>19</v>
      </c>
      <c r="L57" t="s">
        <v>35</v>
      </c>
    </row>
    <row r="58" spans="1:17" x14ac:dyDescent="0.2">
      <c r="A58">
        <f t="shared" ref="A58:A71" si="11">A57+($S$2*(1-$R$2*2))</f>
        <v>300900</v>
      </c>
      <c r="B58" t="s">
        <v>31</v>
      </c>
      <c r="C58" t="s">
        <v>55</v>
      </c>
      <c r="D58">
        <f t="shared" si="10"/>
        <v>289500</v>
      </c>
      <c r="E58" t="s">
        <v>31</v>
      </c>
      <c r="F58" t="s">
        <v>52</v>
      </c>
      <c r="G58">
        <f t="shared" si="8"/>
        <v>298000</v>
      </c>
      <c r="H58" t="s">
        <v>31</v>
      </c>
      <c r="I58" t="s">
        <v>32</v>
      </c>
      <c r="J58">
        <f t="shared" si="9"/>
        <v>298500</v>
      </c>
      <c r="K58" t="s">
        <v>31</v>
      </c>
      <c r="L58" t="s">
        <v>33</v>
      </c>
    </row>
    <row r="59" spans="1:17" x14ac:dyDescent="0.2">
      <c r="A59">
        <f t="shared" si="11"/>
        <v>304800</v>
      </c>
      <c r="B59" t="s">
        <v>19</v>
      </c>
      <c r="C59" t="s">
        <v>54</v>
      </c>
      <c r="D59">
        <f t="shared" si="10"/>
        <v>293450</v>
      </c>
      <c r="E59" t="s">
        <v>19</v>
      </c>
      <c r="F59" t="s">
        <v>53</v>
      </c>
      <c r="G59">
        <f t="shared" si="8"/>
        <v>302000</v>
      </c>
      <c r="H59" t="s">
        <v>19</v>
      </c>
      <c r="I59" t="s">
        <v>34</v>
      </c>
      <c r="J59">
        <f t="shared" si="9"/>
        <v>302550</v>
      </c>
      <c r="K59" t="s">
        <v>19</v>
      </c>
      <c r="L59" t="s">
        <v>35</v>
      </c>
    </row>
    <row r="60" spans="1:17" x14ac:dyDescent="0.2">
      <c r="A60">
        <f t="shared" si="11"/>
        <v>308700</v>
      </c>
      <c r="B60" t="s">
        <v>31</v>
      </c>
      <c r="C60" t="s">
        <v>55</v>
      </c>
      <c r="D60">
        <f t="shared" si="10"/>
        <v>297400</v>
      </c>
      <c r="E60" t="s">
        <v>31</v>
      </c>
      <c r="F60" t="s">
        <v>52</v>
      </c>
      <c r="G60">
        <f t="shared" si="8"/>
        <v>306000</v>
      </c>
      <c r="H60" t="s">
        <v>31</v>
      </c>
      <c r="I60" t="s">
        <v>32</v>
      </c>
      <c r="J60">
        <f t="shared" si="9"/>
        <v>306600</v>
      </c>
      <c r="K60" t="s">
        <v>31</v>
      </c>
      <c r="L60" t="s">
        <v>33</v>
      </c>
    </row>
    <row r="61" spans="1:17" x14ac:dyDescent="0.2">
      <c r="A61">
        <f t="shared" si="11"/>
        <v>312600</v>
      </c>
      <c r="B61" t="s">
        <v>19</v>
      </c>
      <c r="C61" t="s">
        <v>54</v>
      </c>
      <c r="D61">
        <f t="shared" si="10"/>
        <v>301350</v>
      </c>
      <c r="E61" t="s">
        <v>19</v>
      </c>
      <c r="F61" t="s">
        <v>53</v>
      </c>
      <c r="G61">
        <f t="shared" si="8"/>
        <v>310000</v>
      </c>
      <c r="H61" t="s">
        <v>19</v>
      </c>
      <c r="I61" t="s">
        <v>34</v>
      </c>
      <c r="J61">
        <f t="shared" si="9"/>
        <v>310650</v>
      </c>
      <c r="K61" t="s">
        <v>19</v>
      </c>
      <c r="L61" t="s">
        <v>35</v>
      </c>
      <c r="M61">
        <f>M54+($Q54*1000)</f>
        <v>302000</v>
      </c>
      <c r="N61" t="s">
        <v>19</v>
      </c>
      <c r="O61" t="s">
        <v>56</v>
      </c>
      <c r="P61">
        <v>17</v>
      </c>
      <c r="Q61">
        <v>20</v>
      </c>
    </row>
    <row r="62" spans="1:17" x14ac:dyDescent="0.2">
      <c r="A62">
        <f t="shared" si="11"/>
        <v>316500</v>
      </c>
      <c r="B62" t="s">
        <v>31</v>
      </c>
      <c r="C62" t="s">
        <v>55</v>
      </c>
      <c r="D62">
        <f t="shared" si="10"/>
        <v>305300</v>
      </c>
      <c r="E62" t="s">
        <v>31</v>
      </c>
      <c r="F62" t="s">
        <v>52</v>
      </c>
      <c r="G62">
        <f t="shared" si="8"/>
        <v>314000</v>
      </c>
      <c r="H62" t="s">
        <v>31</v>
      </c>
      <c r="I62" t="s">
        <v>32</v>
      </c>
      <c r="J62">
        <f t="shared" si="9"/>
        <v>314700</v>
      </c>
      <c r="K62" t="s">
        <v>31</v>
      </c>
      <c r="L62" t="s">
        <v>33</v>
      </c>
    </row>
    <row r="63" spans="1:17" x14ac:dyDescent="0.2">
      <c r="A63">
        <f t="shared" si="11"/>
        <v>320400</v>
      </c>
      <c r="B63" t="s">
        <v>19</v>
      </c>
      <c r="C63" t="s">
        <v>54</v>
      </c>
      <c r="D63">
        <f t="shared" si="10"/>
        <v>309250</v>
      </c>
      <c r="E63" t="s">
        <v>19</v>
      </c>
      <c r="F63" t="s">
        <v>53</v>
      </c>
      <c r="G63">
        <f t="shared" si="8"/>
        <v>318000</v>
      </c>
      <c r="H63" t="s">
        <v>19</v>
      </c>
      <c r="I63" t="s">
        <v>34</v>
      </c>
      <c r="J63">
        <f t="shared" si="9"/>
        <v>318750</v>
      </c>
      <c r="K63" t="s">
        <v>19</v>
      </c>
      <c r="L63" t="s">
        <v>35</v>
      </c>
    </row>
    <row r="64" spans="1:17" x14ac:dyDescent="0.2">
      <c r="A64">
        <f t="shared" si="11"/>
        <v>324300</v>
      </c>
      <c r="B64" t="s">
        <v>31</v>
      </c>
      <c r="C64" t="s">
        <v>55</v>
      </c>
      <c r="D64">
        <f t="shared" si="10"/>
        <v>313200</v>
      </c>
      <c r="E64" t="s">
        <v>31</v>
      </c>
      <c r="F64" t="s">
        <v>52</v>
      </c>
      <c r="G64">
        <f t="shared" si="8"/>
        <v>322000</v>
      </c>
      <c r="H64" t="s">
        <v>31</v>
      </c>
      <c r="I64" t="s">
        <v>57</v>
      </c>
      <c r="J64">
        <f t="shared" si="9"/>
        <v>322800</v>
      </c>
      <c r="K64" t="s">
        <v>31</v>
      </c>
      <c r="L64" t="s">
        <v>33</v>
      </c>
    </row>
    <row r="65" spans="1:17" x14ac:dyDescent="0.2">
      <c r="A65">
        <f t="shared" si="11"/>
        <v>328200</v>
      </c>
      <c r="B65" t="s">
        <v>19</v>
      </c>
      <c r="C65" t="s">
        <v>54</v>
      </c>
      <c r="D65">
        <f t="shared" si="10"/>
        <v>317150</v>
      </c>
      <c r="E65" t="s">
        <v>19</v>
      </c>
      <c r="F65" t="s">
        <v>53</v>
      </c>
      <c r="G65">
        <f t="shared" si="8"/>
        <v>326000</v>
      </c>
      <c r="H65" t="s">
        <v>19</v>
      </c>
      <c r="I65" t="s">
        <v>43</v>
      </c>
      <c r="J65">
        <f t="shared" si="9"/>
        <v>326850</v>
      </c>
      <c r="K65" t="s">
        <v>19</v>
      </c>
      <c r="L65" t="s">
        <v>35</v>
      </c>
    </row>
    <row r="66" spans="1:17" x14ac:dyDescent="0.2">
      <c r="A66">
        <f t="shared" si="11"/>
        <v>332100</v>
      </c>
      <c r="B66" t="s">
        <v>31</v>
      </c>
      <c r="C66" t="s">
        <v>55</v>
      </c>
      <c r="D66">
        <f t="shared" si="10"/>
        <v>321100</v>
      </c>
      <c r="E66" t="s">
        <v>31</v>
      </c>
      <c r="F66" t="s">
        <v>52</v>
      </c>
      <c r="G66">
        <f t="shared" si="8"/>
        <v>330000</v>
      </c>
      <c r="H66" t="s">
        <v>60</v>
      </c>
      <c r="J66">
        <f t="shared" si="9"/>
        <v>330900</v>
      </c>
      <c r="K66" t="s">
        <v>31</v>
      </c>
      <c r="L66" t="s">
        <v>33</v>
      </c>
      <c r="M66">
        <f>M61+($Q61*1000)</f>
        <v>322000</v>
      </c>
      <c r="N66" t="s">
        <v>19</v>
      </c>
      <c r="O66" t="s">
        <v>41</v>
      </c>
      <c r="P66">
        <v>18</v>
      </c>
      <c r="Q66">
        <v>10</v>
      </c>
    </row>
    <row r="67" spans="1:17" x14ac:dyDescent="0.2">
      <c r="A67">
        <f t="shared" si="11"/>
        <v>336000</v>
      </c>
      <c r="B67" t="s">
        <v>19</v>
      </c>
      <c r="C67" t="s">
        <v>54</v>
      </c>
      <c r="D67">
        <f t="shared" si="10"/>
        <v>325050</v>
      </c>
      <c r="E67" t="s">
        <v>19</v>
      </c>
      <c r="F67" t="s">
        <v>53</v>
      </c>
      <c r="J67">
        <f t="shared" si="9"/>
        <v>334950</v>
      </c>
      <c r="K67" t="s">
        <v>19</v>
      </c>
      <c r="L67" t="s">
        <v>35</v>
      </c>
    </row>
    <row r="68" spans="1:17" x14ac:dyDescent="0.2">
      <c r="A68">
        <f t="shared" si="11"/>
        <v>339900</v>
      </c>
      <c r="B68" t="s">
        <v>31</v>
      </c>
      <c r="C68" t="s">
        <v>55</v>
      </c>
      <c r="D68">
        <f t="shared" si="10"/>
        <v>329000</v>
      </c>
      <c r="E68" t="s">
        <v>31</v>
      </c>
      <c r="F68" t="s">
        <v>52</v>
      </c>
      <c r="G68">
        <f>G66+$Q66*1000</f>
        <v>340000</v>
      </c>
      <c r="H68" t="s">
        <v>60</v>
      </c>
      <c r="J68">
        <f t="shared" si="9"/>
        <v>339000</v>
      </c>
      <c r="K68" t="s">
        <v>31</v>
      </c>
      <c r="L68" t="s">
        <v>33</v>
      </c>
      <c r="M68">
        <f>M66+($Q66*1000)</f>
        <v>332000</v>
      </c>
      <c r="N68" t="s">
        <v>19</v>
      </c>
      <c r="O68" t="s">
        <v>58</v>
      </c>
      <c r="P68">
        <v>19</v>
      </c>
      <c r="Q68">
        <v>15</v>
      </c>
    </row>
    <row r="69" spans="1:17" x14ac:dyDescent="0.2">
      <c r="A69">
        <f t="shared" si="11"/>
        <v>343800</v>
      </c>
      <c r="B69" t="s">
        <v>19</v>
      </c>
      <c r="C69" t="s">
        <v>54</v>
      </c>
      <c r="D69">
        <f t="shared" si="10"/>
        <v>332950</v>
      </c>
      <c r="E69" t="s">
        <v>19</v>
      </c>
      <c r="F69" t="s">
        <v>53</v>
      </c>
      <c r="J69">
        <f t="shared" si="9"/>
        <v>343050</v>
      </c>
      <c r="K69" t="s">
        <v>19</v>
      </c>
      <c r="L69" t="s">
        <v>43</v>
      </c>
    </row>
    <row r="70" spans="1:17" x14ac:dyDescent="0.2">
      <c r="A70">
        <f t="shared" si="11"/>
        <v>347700</v>
      </c>
      <c r="B70" t="s">
        <v>31</v>
      </c>
      <c r="C70" t="s">
        <v>59</v>
      </c>
      <c r="D70">
        <f t="shared" si="10"/>
        <v>336900</v>
      </c>
      <c r="E70" t="s">
        <v>31</v>
      </c>
      <c r="F70" t="s">
        <v>52</v>
      </c>
      <c r="J70">
        <f>J69+($S$2*(1+$R$2))</f>
        <v>347100</v>
      </c>
      <c r="K70" t="s">
        <v>60</v>
      </c>
    </row>
    <row r="71" spans="1:17" x14ac:dyDescent="0.2">
      <c r="A71">
        <f t="shared" si="11"/>
        <v>351600</v>
      </c>
      <c r="B71" t="s">
        <v>60</v>
      </c>
      <c r="D71">
        <f t="shared" si="10"/>
        <v>340850</v>
      </c>
      <c r="E71" t="s">
        <v>19</v>
      </c>
      <c r="F71" t="s">
        <v>53</v>
      </c>
    </row>
    <row r="72" spans="1:17" x14ac:dyDescent="0.2">
      <c r="D72">
        <f t="shared" si="10"/>
        <v>344800</v>
      </c>
      <c r="E72" t="s">
        <v>60</v>
      </c>
    </row>
    <row r="73" spans="1:17" x14ac:dyDescent="0.2">
      <c r="G73">
        <f>G68+$Q68*1000</f>
        <v>355000</v>
      </c>
      <c r="H73" t="s">
        <v>62</v>
      </c>
      <c r="M73">
        <f>M68+($Q68*1000)</f>
        <v>347000</v>
      </c>
      <c r="N73" t="s">
        <v>19</v>
      </c>
      <c r="O73" t="s">
        <v>61</v>
      </c>
      <c r="P73">
        <v>20</v>
      </c>
      <c r="Q73">
        <v>40</v>
      </c>
    </row>
    <row r="82" spans="1:17" x14ac:dyDescent="0.2">
      <c r="J82">
        <f>J70+Q73*1000</f>
        <v>387100</v>
      </c>
      <c r="K82" t="s">
        <v>62</v>
      </c>
      <c r="M82">
        <f>M73+($Q73*1000)</f>
        <v>387000</v>
      </c>
      <c r="N82" t="s">
        <v>19</v>
      </c>
      <c r="O82" t="s">
        <v>43</v>
      </c>
      <c r="P82">
        <v>21</v>
      </c>
      <c r="Q82">
        <v>5</v>
      </c>
    </row>
    <row r="83" spans="1:17" x14ac:dyDescent="0.2">
      <c r="D83">
        <v>318500</v>
      </c>
      <c r="E83" t="s">
        <v>62</v>
      </c>
    </row>
    <row r="84" spans="1:17" x14ac:dyDescent="0.2">
      <c r="A84">
        <v>321000</v>
      </c>
      <c r="B84" t="s">
        <v>62</v>
      </c>
      <c r="M84">
        <f>M82+($Q82*1000)</f>
        <v>392000</v>
      </c>
      <c r="N84" t="s">
        <v>19</v>
      </c>
      <c r="O84" t="s">
        <v>63</v>
      </c>
      <c r="P84">
        <v>22</v>
      </c>
      <c r="Q84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2026-04-22T21:59:20Z</dcterms:modified>
</cp:coreProperties>
</file>