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woosnyder/Dropbox/docs-d/00_UCI_2025-2026/02_UCI_Winter_2026/Independent Study Rajna - Music 299/Constrained_PhoneGuide_Score/ScreenTimeScore/"/>
    </mc:Choice>
  </mc:AlternateContent>
  <xr:revisionPtr revIDLastSave="0" documentId="8_{5C8E4289-F314-2842-A378-86D9C8183FC3}" xr6:coauthVersionLast="47" xr6:coauthVersionMax="47" xr10:uidLastSave="{00000000-0000-0000-0000-000000000000}"/>
  <bookViews>
    <workbookView xWindow="3220" yWindow="-25380" windowWidth="30060" windowHeight="15020" xr2:uid="{656903FE-55D6-334E-8317-D02588440573}"/>
  </bookViews>
  <sheets>
    <sheet name="on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4" i="1"/>
  <c r="J32" i="1"/>
  <c r="J31" i="1"/>
  <c r="A88" i="1"/>
  <c r="D88" i="1"/>
  <c r="G88" i="1"/>
  <c r="J88" i="1"/>
  <c r="A87" i="1"/>
  <c r="D87" i="1"/>
  <c r="G87" i="1"/>
  <c r="J87" i="1"/>
  <c r="A86" i="1"/>
  <c r="D86" i="1"/>
  <c r="G86" i="1"/>
  <c r="J86" i="1"/>
  <c r="M86" i="1"/>
  <c r="M88" i="1"/>
  <c r="M87" i="1"/>
  <c r="M85" i="1"/>
  <c r="P87" i="1"/>
  <c r="P88" i="1" s="1"/>
  <c r="P86" i="1"/>
  <c r="M74" i="1"/>
  <c r="G74" i="1" s="1"/>
  <c r="M13" i="1"/>
  <c r="M14" i="1" s="1"/>
  <c r="M15" i="1" s="1"/>
  <c r="M21" i="1" s="1"/>
  <c r="M28" i="1" s="1"/>
  <c r="M35" i="1" s="1"/>
  <c r="M40" i="1" s="1"/>
  <c r="M43" i="1" s="1"/>
  <c r="M44" i="1" s="1"/>
  <c r="M45" i="1" s="1"/>
  <c r="M46" i="1" s="1"/>
  <c r="M47" i="1" s="1"/>
  <c r="M48" i="1" s="1"/>
  <c r="M49" i="1" s="1"/>
  <c r="M55" i="1" s="1"/>
  <c r="M62" i="1" s="1"/>
  <c r="M67" i="1" s="1"/>
  <c r="M69" i="1" s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30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D13" i="1"/>
  <c r="D14" i="1" s="1"/>
  <c r="D15" i="1" s="1"/>
  <c r="D21" i="1" s="1"/>
  <c r="D28" i="1" s="1"/>
  <c r="D35" i="1" s="1"/>
  <c r="D40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A13" i="1"/>
  <c r="A14" i="1"/>
  <c r="A15" i="1" s="1"/>
  <c r="A21" i="1" s="1"/>
  <c r="A28" i="1" s="1"/>
  <c r="A35" i="1" s="1"/>
  <c r="A40" i="1" s="1"/>
  <c r="A43" i="1" s="1"/>
  <c r="A44" i="1" s="1"/>
  <c r="A45" i="1" s="1"/>
  <c r="A46" i="1" s="1"/>
  <c r="A47" i="1" s="1"/>
  <c r="A48" i="1" s="1"/>
  <c r="A49" i="1" s="1"/>
  <c r="P12" i="1"/>
  <c r="P13" i="1" s="1"/>
  <c r="P14" i="1" s="1"/>
  <c r="P15" i="1" s="1"/>
  <c r="P21" i="1" s="1"/>
  <c r="P28" i="1" s="1"/>
  <c r="P35" i="1" s="1"/>
  <c r="P40" i="1" s="1"/>
  <c r="P43" i="1" s="1"/>
  <c r="P44" i="1" s="1"/>
  <c r="P45" i="1" s="1"/>
  <c r="P46" i="1" s="1"/>
  <c r="P47" i="1" s="1"/>
  <c r="P48" i="1" s="1"/>
  <c r="P49" i="1" s="1"/>
  <c r="P55" i="1" s="1"/>
  <c r="P62" i="1" s="1"/>
  <c r="P67" i="1" s="1"/>
  <c r="P69" i="1" s="1"/>
  <c r="P74" i="1" s="1"/>
  <c r="P83" i="1" s="1"/>
  <c r="P85" i="1" s="1"/>
  <c r="J74" i="1" l="1"/>
  <c r="M83" i="1"/>
  <c r="D74" i="1"/>
  <c r="A74" i="1"/>
  <c r="J37" i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G37" i="1"/>
  <c r="G38" i="1" s="1"/>
  <c r="G39" i="1" s="1"/>
  <c r="G40" i="1" s="1"/>
  <c r="G43" i="1" s="1"/>
  <c r="G44" i="1" s="1"/>
  <c r="G45" i="1" s="1"/>
  <c r="G46" i="1" s="1"/>
  <c r="G47" i="1" s="1"/>
  <c r="G48" i="1" s="1"/>
  <c r="G49" i="1" s="1"/>
  <c r="A83" i="1" l="1"/>
  <c r="G83" i="1"/>
  <c r="J83" i="1"/>
  <c r="D83" i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G50" i="1"/>
  <c r="G51" i="1" s="1"/>
  <c r="G52" i="1" s="1"/>
  <c r="G53" i="1" s="1"/>
  <c r="G54" i="1" s="1"/>
  <c r="G85" i="1" l="1"/>
  <c r="D85" i="1"/>
  <c r="D84" i="1" s="1"/>
  <c r="A85" i="1"/>
  <c r="J85" i="1"/>
  <c r="G55" i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9" i="1" s="1"/>
  <c r="A55" i="1"/>
</calcChain>
</file>

<file path=xl/sharedStrings.xml><?xml version="1.0" encoding="utf-8"?>
<sst xmlns="http://schemas.openxmlformats.org/spreadsheetml/2006/main" count="571" uniqueCount="73">
  <si>
    <t>onset_ms_1</t>
  </si>
  <si>
    <t>state_1</t>
  </si>
  <si>
    <t>text_1</t>
  </si>
  <si>
    <t>onset_ms_2</t>
  </si>
  <si>
    <t>state_2</t>
  </si>
  <si>
    <t>text_2</t>
  </si>
  <si>
    <t>onset_ms_3</t>
  </si>
  <si>
    <t>state_3</t>
  </si>
  <si>
    <t>text_3</t>
  </si>
  <si>
    <t>onset_ms_4</t>
  </si>
  <si>
    <t>state_4</t>
  </si>
  <si>
    <t>text_4</t>
  </si>
  <si>
    <t>onset_ms_5</t>
  </si>
  <si>
    <t>state_5</t>
  </si>
  <si>
    <t>text_5</t>
  </si>
  <si>
    <t>measureNum</t>
  </si>
  <si>
    <t>measureDur_s</t>
  </si>
  <si>
    <t>phaseFactor</t>
  </si>
  <si>
    <t>phaseBaseDur</t>
  </si>
  <si>
    <t>phoneDown</t>
  </si>
  <si>
    <t>Begin in 10</t>
  </si>
  <si>
    <t>Begin in 9</t>
  </si>
  <si>
    <t>Begin in 8</t>
  </si>
  <si>
    <t>Begin in 7</t>
  </si>
  <si>
    <t>Begin in 6</t>
  </si>
  <si>
    <t>Begin in 5</t>
  </si>
  <si>
    <t>Begin in 4</t>
  </si>
  <si>
    <t>Begin in 3</t>
  </si>
  <si>
    <t>Begin in 2</t>
  </si>
  <si>
    <t>Begin in 1</t>
  </si>
  <si>
    <t>Tacet 24"</t>
  </si>
  <si>
    <t>phoneUp</t>
  </si>
  <si>
    <t>Phone Up (4")</t>
  </si>
  <si>
    <t>Phone Up (4.05")</t>
  </si>
  <si>
    <t>Phone Down (4")</t>
  </si>
  <si>
    <t>Phone Down (4.05")</t>
  </si>
  <si>
    <t>Tacet 28"</t>
  </si>
  <si>
    <t>Phone Up (hold!)</t>
  </si>
  <si>
    <t>Phone Down</t>
  </si>
  <si>
    <t>Phone Up</t>
  </si>
  <si>
    <t>Tacet 12"</t>
  </si>
  <si>
    <t>Tacet 10"</t>
  </si>
  <si>
    <t>Phone Down (get ready for INST)</t>
  </si>
  <si>
    <t>PICK UP INST.</t>
  </si>
  <si>
    <t>needs to be at least 6 seconds</t>
  </si>
  <si>
    <t>Tacet 35"</t>
  </si>
  <si>
    <t>Tacet 21"</t>
  </si>
  <si>
    <t>Tacet 4"</t>
  </si>
  <si>
    <t>FREEZE! (rest)</t>
  </si>
  <si>
    <t>Tacet 2"</t>
  </si>
  <si>
    <t>PUT DOWN INST.</t>
  </si>
  <si>
    <t>Phone Up (3.95")</t>
  </si>
  <si>
    <t>Phone Down (3.95")</t>
  </si>
  <si>
    <t>Phone Down (3.9")</t>
  </si>
  <si>
    <t>Phone Up (3.9")</t>
  </si>
  <si>
    <t>Tacet 20"</t>
  </si>
  <si>
    <t>in 4" get INST.</t>
  </si>
  <si>
    <t>Tacet 15"</t>
  </si>
  <si>
    <t>Phone down and PICK UP INST.</t>
  </si>
  <si>
    <t>bacon01</t>
  </si>
  <si>
    <t>Tacet 40"</t>
  </si>
  <si>
    <t>bacon01flash</t>
  </si>
  <si>
    <t>bacon01rise</t>
  </si>
  <si>
    <t>Tacet 6"</t>
  </si>
  <si>
    <t>open final measure</t>
  </si>
  <si>
    <t>flickering measure</t>
  </si>
  <si>
    <t>OPEN FLASH</t>
  </si>
  <si>
    <t>OPEN FADE AND REST</t>
  </si>
  <si>
    <t>bacon01flickerheavy</t>
  </si>
  <si>
    <t>bacon01flickersubtle</t>
  </si>
  <si>
    <t>Play</t>
  </si>
  <si>
    <t>Play (with flashes)</t>
  </si>
  <si>
    <t xml:space="preserve">Play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</si>
</sst>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C8EF-5282-2B42-BB2D-C2C257FF5AA3}">
  <dimension ref="A1:S88"/>
  <sheetViews>
    <sheetView tabSelected="1" topLeftCell="B14" zoomScale="106" workbookViewId="0">
      <selection activeCell="J34" sqref="J34:L34"/>
    </sheetView>
  </sheetViews>
  <sheetFormatPr baseColWidth="10" defaultRowHeight="16" x14ac:dyDescent="0.2"/>
  <cols>
    <col min="2" max="2" width="18.83203125" bestFit="1" customWidth="1"/>
    <col min="3" max="3" width="26.6640625" bestFit="1" customWidth="1"/>
    <col min="6" max="6" width="17.83203125" bestFit="1" customWidth="1"/>
    <col min="7" max="7" width="10.83203125" customWidth="1"/>
    <col min="8" max="8" width="18.83203125" bestFit="1" customWidth="1"/>
    <col min="9" max="9" width="27.1640625" bestFit="1" customWidth="1"/>
    <col min="12" max="12" width="17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0</v>
      </c>
      <c r="B2" t="s">
        <v>19</v>
      </c>
      <c r="C2" t="s">
        <v>20</v>
      </c>
      <c r="D2">
        <v>0</v>
      </c>
      <c r="E2" t="s">
        <v>19</v>
      </c>
      <c r="F2" t="s">
        <v>20</v>
      </c>
      <c r="G2">
        <v>0</v>
      </c>
      <c r="H2" t="s">
        <v>19</v>
      </c>
      <c r="I2" t="s">
        <v>20</v>
      </c>
      <c r="J2">
        <v>0</v>
      </c>
      <c r="K2" t="s">
        <v>19</v>
      </c>
      <c r="L2" t="s">
        <v>20</v>
      </c>
      <c r="M2">
        <v>0</v>
      </c>
      <c r="N2" t="s">
        <v>19</v>
      </c>
      <c r="O2" t="s">
        <v>20</v>
      </c>
      <c r="P2">
        <v>1</v>
      </c>
      <c r="Q2">
        <v>10</v>
      </c>
      <c r="R2">
        <v>1.2500000000000001E-2</v>
      </c>
      <c r="S2">
        <v>4000</v>
      </c>
    </row>
    <row r="3" spans="1:19" x14ac:dyDescent="0.2">
      <c r="A3">
        <v>1000</v>
      </c>
      <c r="B3" t="s">
        <v>19</v>
      </c>
      <c r="C3" t="s">
        <v>21</v>
      </c>
      <c r="D3">
        <v>1000</v>
      </c>
      <c r="E3" t="s">
        <v>19</v>
      </c>
      <c r="F3" t="s">
        <v>21</v>
      </c>
      <c r="G3">
        <v>1000</v>
      </c>
      <c r="H3" t="s">
        <v>19</v>
      </c>
      <c r="I3" t="s">
        <v>21</v>
      </c>
      <c r="J3">
        <v>1000</v>
      </c>
      <c r="K3" t="s">
        <v>19</v>
      </c>
      <c r="L3" t="s">
        <v>21</v>
      </c>
      <c r="M3">
        <v>1000</v>
      </c>
      <c r="N3" t="s">
        <v>19</v>
      </c>
      <c r="O3" t="s">
        <v>21</v>
      </c>
    </row>
    <row r="4" spans="1:19" x14ac:dyDescent="0.2">
      <c r="A4">
        <v>2000</v>
      </c>
      <c r="B4" t="s">
        <v>19</v>
      </c>
      <c r="C4" t="s">
        <v>22</v>
      </c>
      <c r="D4">
        <v>2000</v>
      </c>
      <c r="E4" t="s">
        <v>19</v>
      </c>
      <c r="F4" t="s">
        <v>22</v>
      </c>
      <c r="G4">
        <v>2000</v>
      </c>
      <c r="H4" t="s">
        <v>19</v>
      </c>
      <c r="I4" t="s">
        <v>22</v>
      </c>
      <c r="J4">
        <v>2000</v>
      </c>
      <c r="K4" t="s">
        <v>19</v>
      </c>
      <c r="L4" t="s">
        <v>22</v>
      </c>
      <c r="M4">
        <v>2000</v>
      </c>
      <c r="N4" t="s">
        <v>19</v>
      </c>
      <c r="O4" t="s">
        <v>22</v>
      </c>
    </row>
    <row r="5" spans="1:19" x14ac:dyDescent="0.2">
      <c r="A5">
        <v>3000</v>
      </c>
      <c r="B5" t="s">
        <v>19</v>
      </c>
      <c r="C5" t="s">
        <v>23</v>
      </c>
      <c r="D5">
        <v>3000</v>
      </c>
      <c r="E5" t="s">
        <v>19</v>
      </c>
      <c r="F5" t="s">
        <v>23</v>
      </c>
      <c r="G5">
        <v>3000</v>
      </c>
      <c r="H5" t="s">
        <v>19</v>
      </c>
      <c r="I5" t="s">
        <v>23</v>
      </c>
      <c r="J5">
        <v>3000</v>
      </c>
      <c r="K5" t="s">
        <v>19</v>
      </c>
      <c r="L5" t="s">
        <v>23</v>
      </c>
      <c r="M5">
        <v>3000</v>
      </c>
      <c r="N5" t="s">
        <v>19</v>
      </c>
      <c r="O5" t="s">
        <v>23</v>
      </c>
    </row>
    <row r="6" spans="1:19" x14ac:dyDescent="0.2">
      <c r="A6">
        <v>4000</v>
      </c>
      <c r="B6" t="s">
        <v>19</v>
      </c>
      <c r="C6" t="s">
        <v>24</v>
      </c>
      <c r="D6">
        <v>4000</v>
      </c>
      <c r="E6" t="s">
        <v>19</v>
      </c>
      <c r="F6" t="s">
        <v>24</v>
      </c>
      <c r="G6">
        <v>4000</v>
      </c>
      <c r="H6" t="s">
        <v>19</v>
      </c>
      <c r="I6" t="s">
        <v>24</v>
      </c>
      <c r="J6">
        <v>4000</v>
      </c>
      <c r="K6" t="s">
        <v>19</v>
      </c>
      <c r="L6" t="s">
        <v>24</v>
      </c>
      <c r="M6">
        <v>4000</v>
      </c>
      <c r="N6" t="s">
        <v>19</v>
      </c>
      <c r="O6" t="s">
        <v>24</v>
      </c>
    </row>
    <row r="7" spans="1:19" x14ac:dyDescent="0.2">
      <c r="A7">
        <v>5000</v>
      </c>
      <c r="B7" t="s">
        <v>19</v>
      </c>
      <c r="C7" t="s">
        <v>25</v>
      </c>
      <c r="D7">
        <v>5000</v>
      </c>
      <c r="E7" t="s">
        <v>19</v>
      </c>
      <c r="F7" t="s">
        <v>25</v>
      </c>
      <c r="G7">
        <v>5000</v>
      </c>
      <c r="H7" t="s">
        <v>19</v>
      </c>
      <c r="I7" t="s">
        <v>25</v>
      </c>
      <c r="J7">
        <v>5000</v>
      </c>
      <c r="K7" t="s">
        <v>19</v>
      </c>
      <c r="L7" t="s">
        <v>25</v>
      </c>
      <c r="M7">
        <v>5000</v>
      </c>
      <c r="N7" t="s">
        <v>19</v>
      </c>
      <c r="O7" t="s">
        <v>25</v>
      </c>
    </row>
    <row r="8" spans="1:19" x14ac:dyDescent="0.2">
      <c r="A8">
        <v>6000</v>
      </c>
      <c r="B8" t="s">
        <v>19</v>
      </c>
      <c r="C8" t="s">
        <v>26</v>
      </c>
      <c r="D8">
        <v>6000</v>
      </c>
      <c r="E8" t="s">
        <v>19</v>
      </c>
      <c r="F8" t="s">
        <v>26</v>
      </c>
      <c r="G8">
        <v>6000</v>
      </c>
      <c r="H8" t="s">
        <v>19</v>
      </c>
      <c r="I8" t="s">
        <v>26</v>
      </c>
      <c r="J8">
        <v>6000</v>
      </c>
      <c r="K8" t="s">
        <v>19</v>
      </c>
      <c r="L8" t="s">
        <v>26</v>
      </c>
      <c r="M8">
        <v>6000</v>
      </c>
      <c r="N8" t="s">
        <v>19</v>
      </c>
      <c r="O8" t="s">
        <v>26</v>
      </c>
    </row>
    <row r="9" spans="1:19" x14ac:dyDescent="0.2">
      <c r="A9">
        <v>7000</v>
      </c>
      <c r="B9" t="s">
        <v>19</v>
      </c>
      <c r="C9" t="s">
        <v>27</v>
      </c>
      <c r="D9">
        <v>7000</v>
      </c>
      <c r="E9" t="s">
        <v>19</v>
      </c>
      <c r="F9" t="s">
        <v>27</v>
      </c>
      <c r="G9">
        <v>7000</v>
      </c>
      <c r="H9" t="s">
        <v>19</v>
      </c>
      <c r="I9" t="s">
        <v>27</v>
      </c>
      <c r="J9">
        <v>7000</v>
      </c>
      <c r="K9" t="s">
        <v>19</v>
      </c>
      <c r="L9" t="s">
        <v>27</v>
      </c>
      <c r="M9">
        <v>7000</v>
      </c>
      <c r="N9" t="s">
        <v>19</v>
      </c>
      <c r="O9" t="s">
        <v>27</v>
      </c>
    </row>
    <row r="10" spans="1:19" x14ac:dyDescent="0.2">
      <c r="A10">
        <v>8000</v>
      </c>
      <c r="B10" t="s">
        <v>19</v>
      </c>
      <c r="C10" t="s">
        <v>28</v>
      </c>
      <c r="D10">
        <v>8000</v>
      </c>
      <c r="E10" t="s">
        <v>19</v>
      </c>
      <c r="F10" t="s">
        <v>28</v>
      </c>
      <c r="G10">
        <v>8000</v>
      </c>
      <c r="H10" t="s">
        <v>19</v>
      </c>
      <c r="I10" t="s">
        <v>28</v>
      </c>
      <c r="J10">
        <v>8000</v>
      </c>
      <c r="K10" t="s">
        <v>19</v>
      </c>
      <c r="L10" t="s">
        <v>28</v>
      </c>
      <c r="M10">
        <v>8000</v>
      </c>
      <c r="N10" t="s">
        <v>19</v>
      </c>
      <c r="O10" t="s">
        <v>28</v>
      </c>
    </row>
    <row r="11" spans="1:19" x14ac:dyDescent="0.2">
      <c r="A11">
        <v>9000</v>
      </c>
      <c r="B11" t="s">
        <v>19</v>
      </c>
      <c r="C11" t="s">
        <v>29</v>
      </c>
      <c r="D11">
        <v>9000</v>
      </c>
      <c r="E11" t="s">
        <v>19</v>
      </c>
      <c r="F11" t="s">
        <v>29</v>
      </c>
      <c r="G11">
        <v>9000</v>
      </c>
      <c r="H11" t="s">
        <v>19</v>
      </c>
      <c r="I11" t="s">
        <v>29</v>
      </c>
      <c r="J11">
        <v>9000</v>
      </c>
      <c r="K11" t="s">
        <v>19</v>
      </c>
      <c r="L11" t="s">
        <v>29</v>
      </c>
      <c r="M11">
        <v>9000</v>
      </c>
      <c r="N11" t="s">
        <v>19</v>
      </c>
      <c r="O11" t="s">
        <v>29</v>
      </c>
    </row>
    <row r="12" spans="1:19" x14ac:dyDescent="0.2">
      <c r="A12">
        <v>10000</v>
      </c>
      <c r="B12" t="s">
        <v>62</v>
      </c>
      <c r="D12">
        <v>10000</v>
      </c>
      <c r="E12" t="s">
        <v>62</v>
      </c>
      <c r="G12">
        <v>10000</v>
      </c>
      <c r="H12" t="s">
        <v>62</v>
      </c>
      <c r="J12">
        <v>10000</v>
      </c>
      <c r="K12" t="s">
        <v>62</v>
      </c>
      <c r="M12">
        <v>10000</v>
      </c>
      <c r="N12" t="s">
        <v>62</v>
      </c>
      <c r="P12">
        <f>P2+1</f>
        <v>2</v>
      </c>
      <c r="Q12">
        <v>20</v>
      </c>
    </row>
    <row r="13" spans="1:19" x14ac:dyDescent="0.2">
      <c r="A13">
        <f>A12+($Q12*1000)</f>
        <v>30000</v>
      </c>
      <c r="B13" t="s">
        <v>69</v>
      </c>
      <c r="D13">
        <f>D12+($Q12*1000)</f>
        <v>30000</v>
      </c>
      <c r="E13" t="s">
        <v>69</v>
      </c>
      <c r="G13">
        <f>G12+($Q12*1000)</f>
        <v>30000</v>
      </c>
      <c r="H13" t="s">
        <v>69</v>
      </c>
      <c r="J13">
        <f>J12+($Q12*1000)</f>
        <v>30000</v>
      </c>
      <c r="K13" t="s">
        <v>69</v>
      </c>
      <c r="M13">
        <f>M12+($Q12*1000)</f>
        <v>30000</v>
      </c>
      <c r="N13" t="s">
        <v>69</v>
      </c>
      <c r="P13">
        <f>P12+1</f>
        <v>3</v>
      </c>
      <c r="Q13">
        <v>20</v>
      </c>
    </row>
    <row r="14" spans="1:19" x14ac:dyDescent="0.2">
      <c r="A14">
        <f>A13+($Q13*1000)</f>
        <v>50000</v>
      </c>
      <c r="B14" t="s">
        <v>19</v>
      </c>
      <c r="C14" t="s">
        <v>63</v>
      </c>
      <c r="D14">
        <f>D13+($Q13*1000)</f>
        <v>50000</v>
      </c>
      <c r="E14" t="s">
        <v>19</v>
      </c>
      <c r="F14" t="s">
        <v>63</v>
      </c>
      <c r="G14">
        <f>G13+($Q13*1000)</f>
        <v>50000</v>
      </c>
      <c r="H14" t="s">
        <v>19</v>
      </c>
      <c r="I14" t="s">
        <v>63</v>
      </c>
      <c r="J14">
        <f>J13+($Q13*1000)</f>
        <v>50000</v>
      </c>
      <c r="K14" t="s">
        <v>19</v>
      </c>
      <c r="L14" t="s">
        <v>63</v>
      </c>
      <c r="M14">
        <f>M13+($Q13*1000)</f>
        <v>50000</v>
      </c>
      <c r="N14" t="s">
        <v>19</v>
      </c>
      <c r="O14" t="s">
        <v>63</v>
      </c>
      <c r="P14">
        <f>P13+1</f>
        <v>4</v>
      </c>
      <c r="Q14">
        <v>6</v>
      </c>
    </row>
    <row r="15" spans="1:19" x14ac:dyDescent="0.2">
      <c r="A15">
        <f>A14+($Q14*1000)</f>
        <v>56000</v>
      </c>
      <c r="B15" t="s">
        <v>19</v>
      </c>
      <c r="C15" t="s">
        <v>30</v>
      </c>
      <c r="D15">
        <f>D14+($Q14*1000)</f>
        <v>56000</v>
      </c>
      <c r="E15" t="s">
        <v>19</v>
      </c>
      <c r="F15" t="s">
        <v>30</v>
      </c>
      <c r="G15">
        <f>G14+($Q14*1000)</f>
        <v>56000</v>
      </c>
      <c r="H15" t="s">
        <v>31</v>
      </c>
      <c r="I15" t="s">
        <v>32</v>
      </c>
      <c r="J15">
        <f>J14+($Q14*1000)</f>
        <v>56000</v>
      </c>
      <c r="K15" t="s">
        <v>31</v>
      </c>
      <c r="L15" t="s">
        <v>33</v>
      </c>
      <c r="M15">
        <f>M14+($Q14*1000)</f>
        <v>56000</v>
      </c>
      <c r="N15" t="s">
        <v>19</v>
      </c>
      <c r="O15" t="s">
        <v>30</v>
      </c>
      <c r="P15">
        <f>P14+1</f>
        <v>5</v>
      </c>
      <c r="Q15">
        <v>24</v>
      </c>
    </row>
    <row r="16" spans="1:19" x14ac:dyDescent="0.2">
      <c r="G16">
        <f t="shared" ref="G16:G21" si="0">G15+($S$2)</f>
        <v>60000</v>
      </c>
      <c r="H16" t="s">
        <v>19</v>
      </c>
      <c r="I16" t="s">
        <v>34</v>
      </c>
      <c r="J16">
        <f t="shared" ref="J16:J27" si="1">J15+($S$2*(1+$R$2))</f>
        <v>60050</v>
      </c>
      <c r="K16" t="s">
        <v>19</v>
      </c>
      <c r="L16" t="s">
        <v>35</v>
      </c>
    </row>
    <row r="17" spans="1:17" x14ac:dyDescent="0.2">
      <c r="G17">
        <f t="shared" si="0"/>
        <v>64000</v>
      </c>
      <c r="H17" t="s">
        <v>31</v>
      </c>
      <c r="I17" t="s">
        <v>32</v>
      </c>
      <c r="J17">
        <f t="shared" si="1"/>
        <v>64100</v>
      </c>
      <c r="K17" t="s">
        <v>31</v>
      </c>
      <c r="L17" t="s">
        <v>33</v>
      </c>
    </row>
    <row r="18" spans="1:17" x14ac:dyDescent="0.2">
      <c r="G18">
        <f t="shared" si="0"/>
        <v>68000</v>
      </c>
      <c r="H18" t="s">
        <v>19</v>
      </c>
      <c r="I18" t="s">
        <v>34</v>
      </c>
      <c r="J18">
        <f t="shared" si="1"/>
        <v>68150</v>
      </c>
      <c r="K18" t="s">
        <v>19</v>
      </c>
      <c r="L18" t="s">
        <v>35</v>
      </c>
    </row>
    <row r="19" spans="1:17" x14ac:dyDescent="0.2">
      <c r="G19">
        <f t="shared" si="0"/>
        <v>72000</v>
      </c>
      <c r="H19" t="s">
        <v>31</v>
      </c>
      <c r="I19" t="s">
        <v>32</v>
      </c>
      <c r="J19">
        <f t="shared" si="1"/>
        <v>72200</v>
      </c>
      <c r="K19" t="s">
        <v>31</v>
      </c>
      <c r="L19" t="s">
        <v>33</v>
      </c>
    </row>
    <row r="20" spans="1:17" x14ac:dyDescent="0.2">
      <c r="G20">
        <f t="shared" si="0"/>
        <v>76000</v>
      </c>
      <c r="H20" t="s">
        <v>19</v>
      </c>
      <c r="I20" t="s">
        <v>34</v>
      </c>
      <c r="J20">
        <f t="shared" si="1"/>
        <v>76250</v>
      </c>
      <c r="K20" t="s">
        <v>19</v>
      </c>
      <c r="L20" t="s">
        <v>35</v>
      </c>
    </row>
    <row r="21" spans="1:17" x14ac:dyDescent="0.2">
      <c r="A21">
        <f>A15+($Q15*1000)</f>
        <v>80000</v>
      </c>
      <c r="B21" t="s">
        <v>19</v>
      </c>
      <c r="C21" t="s">
        <v>36</v>
      </c>
      <c r="D21">
        <f>D15+($Q15*1000)</f>
        <v>80000</v>
      </c>
      <c r="E21" t="s">
        <v>19</v>
      </c>
      <c r="F21" t="s">
        <v>36</v>
      </c>
      <c r="G21">
        <f t="shared" si="0"/>
        <v>80000</v>
      </c>
      <c r="H21" t="s">
        <v>31</v>
      </c>
      <c r="I21" t="s">
        <v>32</v>
      </c>
      <c r="J21">
        <f t="shared" si="1"/>
        <v>80300</v>
      </c>
      <c r="K21" t="s">
        <v>31</v>
      </c>
      <c r="L21" t="s">
        <v>33</v>
      </c>
      <c r="M21">
        <f>M15+($Q15*1000)</f>
        <v>80000</v>
      </c>
      <c r="N21" t="s">
        <v>19</v>
      </c>
      <c r="O21" t="s">
        <v>36</v>
      </c>
      <c r="P21">
        <f>P15+1</f>
        <v>6</v>
      </c>
      <c r="Q21">
        <v>28</v>
      </c>
    </row>
    <row r="22" spans="1:17" x14ac:dyDescent="0.2">
      <c r="G22">
        <f t="shared" ref="G22:G40" si="2">G21+($S$2)</f>
        <v>84000</v>
      </c>
      <c r="H22" t="s">
        <v>19</v>
      </c>
      <c r="I22" t="s">
        <v>34</v>
      </c>
      <c r="J22">
        <f t="shared" si="1"/>
        <v>84350</v>
      </c>
      <c r="K22" t="s">
        <v>19</v>
      </c>
      <c r="L22" t="s">
        <v>35</v>
      </c>
    </row>
    <row r="23" spans="1:17" x14ac:dyDescent="0.2">
      <c r="G23">
        <f t="shared" si="2"/>
        <v>88000</v>
      </c>
      <c r="H23" t="s">
        <v>31</v>
      </c>
      <c r="I23" t="s">
        <v>32</v>
      </c>
      <c r="J23">
        <f t="shared" si="1"/>
        <v>88400</v>
      </c>
      <c r="K23" t="s">
        <v>31</v>
      </c>
      <c r="L23" t="s">
        <v>33</v>
      </c>
    </row>
    <row r="24" spans="1:17" x14ac:dyDescent="0.2">
      <c r="G24">
        <f t="shared" si="2"/>
        <v>92000</v>
      </c>
      <c r="H24" t="s">
        <v>19</v>
      </c>
      <c r="I24" t="s">
        <v>34</v>
      </c>
      <c r="J24">
        <f t="shared" si="1"/>
        <v>92450</v>
      </c>
      <c r="K24" t="s">
        <v>19</v>
      </c>
      <c r="L24" t="s">
        <v>35</v>
      </c>
    </row>
    <row r="25" spans="1:17" x14ac:dyDescent="0.2">
      <c r="G25">
        <f t="shared" si="2"/>
        <v>96000</v>
      </c>
      <c r="H25" t="s">
        <v>31</v>
      </c>
      <c r="I25" t="s">
        <v>32</v>
      </c>
      <c r="J25">
        <f t="shared" si="1"/>
        <v>96500</v>
      </c>
      <c r="K25" t="s">
        <v>31</v>
      </c>
      <c r="L25" t="s">
        <v>33</v>
      </c>
    </row>
    <row r="26" spans="1:17" x14ac:dyDescent="0.2">
      <c r="G26">
        <f t="shared" si="2"/>
        <v>100000</v>
      </c>
      <c r="H26" t="s">
        <v>19</v>
      </c>
      <c r="I26" t="s">
        <v>34</v>
      </c>
      <c r="J26">
        <f t="shared" si="1"/>
        <v>100550</v>
      </c>
      <c r="K26" t="s">
        <v>19</v>
      </c>
      <c r="L26" t="s">
        <v>35</v>
      </c>
    </row>
    <row r="27" spans="1:17" x14ac:dyDescent="0.2">
      <c r="G27">
        <f t="shared" si="2"/>
        <v>104000</v>
      </c>
      <c r="H27" t="s">
        <v>31</v>
      </c>
      <c r="I27" t="s">
        <v>32</v>
      </c>
      <c r="J27">
        <f t="shared" si="1"/>
        <v>104600</v>
      </c>
      <c r="K27" t="s">
        <v>31</v>
      </c>
      <c r="L27" t="s">
        <v>37</v>
      </c>
    </row>
    <row r="28" spans="1:17" x14ac:dyDescent="0.2">
      <c r="A28">
        <f>A21+($Q21*1000)</f>
        <v>108000</v>
      </c>
      <c r="B28" t="s">
        <v>19</v>
      </c>
      <c r="C28" t="s">
        <v>36</v>
      </c>
      <c r="D28">
        <f>D21+($Q21*1000)</f>
        <v>108000</v>
      </c>
      <c r="E28" t="s">
        <v>19</v>
      </c>
      <c r="F28" t="s">
        <v>36</v>
      </c>
      <c r="G28">
        <f t="shared" si="2"/>
        <v>108000</v>
      </c>
      <c r="H28" t="s">
        <v>19</v>
      </c>
      <c r="I28" t="s">
        <v>34</v>
      </c>
      <c r="M28">
        <f>M21+($Q21*1000)</f>
        <v>108000</v>
      </c>
      <c r="N28" t="s">
        <v>19</v>
      </c>
      <c r="O28" t="s">
        <v>36</v>
      </c>
      <c r="P28">
        <f>P21+1</f>
        <v>7</v>
      </c>
      <c r="Q28">
        <v>28</v>
      </c>
    </row>
    <row r="29" spans="1:17" x14ac:dyDescent="0.2">
      <c r="G29">
        <f t="shared" si="2"/>
        <v>112000</v>
      </c>
      <c r="H29" t="s">
        <v>31</v>
      </c>
      <c r="I29" t="s">
        <v>32</v>
      </c>
    </row>
    <row r="30" spans="1:17" x14ac:dyDescent="0.2">
      <c r="G30">
        <f t="shared" si="2"/>
        <v>116000</v>
      </c>
      <c r="H30" t="s">
        <v>19</v>
      </c>
      <c r="I30" t="s">
        <v>34</v>
      </c>
      <c r="J30">
        <f>J27+(11000)</f>
        <v>115600</v>
      </c>
      <c r="K30" t="s">
        <v>19</v>
      </c>
      <c r="L30" t="s">
        <v>38</v>
      </c>
    </row>
    <row r="31" spans="1:17" x14ac:dyDescent="0.2">
      <c r="G31">
        <f t="shared" si="2"/>
        <v>120000</v>
      </c>
      <c r="H31" t="s">
        <v>31</v>
      </c>
      <c r="I31" t="s">
        <v>32</v>
      </c>
      <c r="J31">
        <f>J30+1000</f>
        <v>116600</v>
      </c>
      <c r="K31" t="s">
        <v>31</v>
      </c>
      <c r="L31" t="s">
        <v>39</v>
      </c>
    </row>
    <row r="32" spans="1:17" x14ac:dyDescent="0.2">
      <c r="G32">
        <f t="shared" si="2"/>
        <v>124000</v>
      </c>
      <c r="H32" t="s">
        <v>19</v>
      </c>
      <c r="I32" t="s">
        <v>34</v>
      </c>
      <c r="J32">
        <f>J31+1000</f>
        <v>117600</v>
      </c>
      <c r="K32" t="s">
        <v>19</v>
      </c>
      <c r="L32" t="s">
        <v>38</v>
      </c>
    </row>
    <row r="33" spans="1:18" x14ac:dyDescent="0.2">
      <c r="G33">
        <f t="shared" si="2"/>
        <v>128000</v>
      </c>
      <c r="H33" t="s">
        <v>31</v>
      </c>
      <c r="I33" t="s">
        <v>32</v>
      </c>
    </row>
    <row r="34" spans="1:18" x14ac:dyDescent="0.2">
      <c r="G34">
        <f t="shared" si="2"/>
        <v>132000</v>
      </c>
      <c r="H34" t="s">
        <v>19</v>
      </c>
      <c r="I34" t="s">
        <v>34</v>
      </c>
      <c r="J34">
        <f>J32+11000</f>
        <v>128600</v>
      </c>
      <c r="K34" t="s">
        <v>19</v>
      </c>
      <c r="L34" t="s">
        <v>34</v>
      </c>
    </row>
    <row r="35" spans="1:18" x14ac:dyDescent="0.2">
      <c r="A35">
        <f>A28+($Q28*1000)</f>
        <v>136000</v>
      </c>
      <c r="B35" t="s">
        <v>19</v>
      </c>
      <c r="C35" t="s">
        <v>40</v>
      </c>
      <c r="D35">
        <f>D28+($Q28*1000)</f>
        <v>136000</v>
      </c>
      <c r="E35" t="s">
        <v>19</v>
      </c>
      <c r="F35" t="s">
        <v>40</v>
      </c>
      <c r="G35">
        <f t="shared" si="2"/>
        <v>136000</v>
      </c>
      <c r="H35" t="s">
        <v>31</v>
      </c>
      <c r="I35" t="s">
        <v>32</v>
      </c>
      <c r="M35">
        <f>M28+($Q28*1000)</f>
        <v>136000</v>
      </c>
      <c r="N35" t="s">
        <v>19</v>
      </c>
      <c r="O35" t="s">
        <v>40</v>
      </c>
      <c r="P35">
        <f>P28+1</f>
        <v>8</v>
      </c>
      <c r="Q35">
        <v>12</v>
      </c>
    </row>
    <row r="36" spans="1:18" x14ac:dyDescent="0.2">
      <c r="G36">
        <f t="shared" si="2"/>
        <v>140000</v>
      </c>
      <c r="H36" t="s">
        <v>19</v>
      </c>
      <c r="I36" t="s">
        <v>34</v>
      </c>
      <c r="J36">
        <f>G36</f>
        <v>140000</v>
      </c>
      <c r="K36" t="s">
        <v>31</v>
      </c>
      <c r="L36" t="s">
        <v>32</v>
      </c>
    </row>
    <row r="37" spans="1:18" x14ac:dyDescent="0.2">
      <c r="G37">
        <f>G36+($S$2)</f>
        <v>144000</v>
      </c>
      <c r="H37" t="s">
        <v>31</v>
      </c>
      <c r="I37" t="s">
        <v>32</v>
      </c>
      <c r="J37">
        <f>J36+($S$2)</f>
        <v>144000</v>
      </c>
      <c r="K37" t="s">
        <v>19</v>
      </c>
      <c r="L37" t="s">
        <v>34</v>
      </c>
    </row>
    <row r="38" spans="1:18" x14ac:dyDescent="0.2">
      <c r="G38">
        <f>G37+($S$2)</f>
        <v>148000</v>
      </c>
      <c r="H38" t="s">
        <v>19</v>
      </c>
      <c r="I38" t="s">
        <v>34</v>
      </c>
      <c r="J38">
        <f>J37+($S$2)</f>
        <v>148000</v>
      </c>
      <c r="K38" t="s">
        <v>31</v>
      </c>
      <c r="L38" t="s">
        <v>32</v>
      </c>
    </row>
    <row r="39" spans="1:18" x14ac:dyDescent="0.2">
      <c r="G39">
        <f t="shared" si="2"/>
        <v>152000</v>
      </c>
      <c r="H39" t="s">
        <v>31</v>
      </c>
      <c r="I39" t="s">
        <v>32</v>
      </c>
      <c r="J39">
        <f>J38+($S$2)</f>
        <v>152000</v>
      </c>
      <c r="K39" t="s">
        <v>19</v>
      </c>
      <c r="L39" t="s">
        <v>34</v>
      </c>
    </row>
    <row r="40" spans="1:18" x14ac:dyDescent="0.2">
      <c r="A40">
        <f>A35+($Q35*1000)</f>
        <v>148000</v>
      </c>
      <c r="B40" t="s">
        <v>19</v>
      </c>
      <c r="C40" t="s">
        <v>41</v>
      </c>
      <c r="D40">
        <f>D35+($Q35*1000)</f>
        <v>148000</v>
      </c>
      <c r="E40" t="s">
        <v>19</v>
      </c>
      <c r="F40" t="s">
        <v>41</v>
      </c>
      <c r="G40">
        <f t="shared" si="2"/>
        <v>156000</v>
      </c>
      <c r="H40" t="s">
        <v>19</v>
      </c>
      <c r="I40" t="s">
        <v>42</v>
      </c>
      <c r="J40">
        <f>J39+($S$2)</f>
        <v>156000</v>
      </c>
      <c r="K40" t="s">
        <v>31</v>
      </c>
      <c r="L40" t="s">
        <v>39</v>
      </c>
      <c r="M40">
        <f>M35+($Q35*1000)</f>
        <v>148000</v>
      </c>
      <c r="N40" t="s">
        <v>19</v>
      </c>
      <c r="O40" t="s">
        <v>41</v>
      </c>
      <c r="P40">
        <f>P35+1</f>
        <v>9</v>
      </c>
      <c r="Q40">
        <v>10</v>
      </c>
    </row>
    <row r="41" spans="1:18" x14ac:dyDescent="0.2">
      <c r="J41">
        <f>J40+1000</f>
        <v>157000</v>
      </c>
      <c r="K41" t="s">
        <v>19</v>
      </c>
      <c r="L41" t="s">
        <v>38</v>
      </c>
    </row>
    <row r="42" spans="1:18" x14ac:dyDescent="0.2">
      <c r="J42">
        <f>J41+3000</f>
        <v>160000</v>
      </c>
      <c r="K42" t="s">
        <v>31</v>
      </c>
      <c r="L42" t="s">
        <v>39</v>
      </c>
    </row>
    <row r="43" spans="1:18" x14ac:dyDescent="0.2">
      <c r="A43">
        <f>A40+($Q40*1000)</f>
        <v>158000</v>
      </c>
      <c r="B43" t="s">
        <v>19</v>
      </c>
      <c r="C43" t="s">
        <v>63</v>
      </c>
      <c r="D43">
        <f>D40+($Q40*1000)</f>
        <v>158000</v>
      </c>
      <c r="E43" t="s">
        <v>19</v>
      </c>
      <c r="F43" t="s">
        <v>63</v>
      </c>
      <c r="G43">
        <f>G40+Q40*1000</f>
        <v>166000</v>
      </c>
      <c r="H43" t="s">
        <v>31</v>
      </c>
      <c r="I43" t="s">
        <v>43</v>
      </c>
      <c r="J43">
        <f>J42+6000</f>
        <v>166000</v>
      </c>
      <c r="K43" t="s">
        <v>19</v>
      </c>
      <c r="L43" t="s">
        <v>43</v>
      </c>
      <c r="M43">
        <f>M40+($Q40*1000)</f>
        <v>158000</v>
      </c>
      <c r="N43" t="s">
        <v>19</v>
      </c>
      <c r="O43" t="s">
        <v>63</v>
      </c>
      <c r="P43">
        <f>P40+1</f>
        <v>10</v>
      </c>
      <c r="Q43">
        <v>6</v>
      </c>
      <c r="R43" t="s">
        <v>44</v>
      </c>
    </row>
    <row r="44" spans="1:18" x14ac:dyDescent="0.2">
      <c r="A44">
        <f t="shared" ref="A44:A49" si="3">A43+($Q43*1000)</f>
        <v>164000</v>
      </c>
      <c r="B44" t="s">
        <v>19</v>
      </c>
      <c r="C44" t="s">
        <v>45</v>
      </c>
      <c r="D44">
        <f t="shared" ref="D44:D49" si="4">D43+($Q43*1000)</f>
        <v>164000</v>
      </c>
      <c r="E44" t="s">
        <v>19</v>
      </c>
      <c r="F44" t="s">
        <v>45</v>
      </c>
      <c r="G44">
        <f t="shared" ref="G44:G49" si="5">G43+$Q43*1000</f>
        <v>172000</v>
      </c>
      <c r="H44" t="s">
        <v>59</v>
      </c>
      <c r="I44" t="s">
        <v>72</v>
      </c>
      <c r="J44">
        <f t="shared" ref="J44:J49" si="6">J43+$Q43*1000</f>
        <v>172000</v>
      </c>
      <c r="K44" t="s">
        <v>59</v>
      </c>
      <c r="L44" t="s">
        <v>70</v>
      </c>
      <c r="M44">
        <f t="shared" ref="M44:M49" si="7">M43+($Q43*1000)</f>
        <v>164000</v>
      </c>
      <c r="N44" t="s">
        <v>19</v>
      </c>
      <c r="O44" t="s">
        <v>45</v>
      </c>
      <c r="P44">
        <f>P43+1</f>
        <v>11</v>
      </c>
      <c r="Q44">
        <v>35</v>
      </c>
    </row>
    <row r="45" spans="1:18" x14ac:dyDescent="0.2">
      <c r="A45">
        <f t="shared" si="3"/>
        <v>199000</v>
      </c>
      <c r="B45" t="s">
        <v>19</v>
      </c>
      <c r="C45" t="s">
        <v>46</v>
      </c>
      <c r="D45">
        <f t="shared" si="4"/>
        <v>199000</v>
      </c>
      <c r="E45" t="s">
        <v>19</v>
      </c>
      <c r="F45" t="s">
        <v>46</v>
      </c>
      <c r="G45">
        <f t="shared" si="5"/>
        <v>207000</v>
      </c>
      <c r="H45" t="s">
        <v>61</v>
      </c>
      <c r="I45" t="s">
        <v>71</v>
      </c>
      <c r="J45">
        <f t="shared" si="6"/>
        <v>207000</v>
      </c>
      <c r="K45" t="s">
        <v>61</v>
      </c>
      <c r="L45" t="s">
        <v>71</v>
      </c>
      <c r="M45">
        <f t="shared" si="7"/>
        <v>199000</v>
      </c>
      <c r="N45" t="s">
        <v>19</v>
      </c>
      <c r="O45" t="s">
        <v>46</v>
      </c>
      <c r="P45">
        <f t="shared" ref="P45:P49" si="8">P44+1</f>
        <v>12</v>
      </c>
      <c r="Q45">
        <v>21</v>
      </c>
    </row>
    <row r="46" spans="1:18" x14ac:dyDescent="0.2">
      <c r="A46">
        <f t="shared" si="3"/>
        <v>220000</v>
      </c>
      <c r="B46" t="s">
        <v>19</v>
      </c>
      <c r="C46" t="s">
        <v>47</v>
      </c>
      <c r="D46">
        <f t="shared" si="4"/>
        <v>220000</v>
      </c>
      <c r="E46" t="s">
        <v>19</v>
      </c>
      <c r="F46" t="s">
        <v>47</v>
      </c>
      <c r="G46">
        <f t="shared" si="5"/>
        <v>228000</v>
      </c>
      <c r="H46" t="s">
        <v>61</v>
      </c>
      <c r="I46" t="s">
        <v>71</v>
      </c>
      <c r="J46">
        <f t="shared" si="6"/>
        <v>228000</v>
      </c>
      <c r="K46" t="s">
        <v>31</v>
      </c>
      <c r="L46" t="s">
        <v>48</v>
      </c>
      <c r="M46">
        <f t="shared" si="7"/>
        <v>220000</v>
      </c>
      <c r="N46" t="s">
        <v>19</v>
      </c>
      <c r="O46" t="s">
        <v>47</v>
      </c>
      <c r="P46">
        <f t="shared" si="8"/>
        <v>13</v>
      </c>
      <c r="Q46">
        <v>4</v>
      </c>
    </row>
    <row r="47" spans="1:18" x14ac:dyDescent="0.2">
      <c r="A47">
        <f t="shared" si="3"/>
        <v>224000</v>
      </c>
      <c r="B47" t="s">
        <v>19</v>
      </c>
      <c r="C47" t="s">
        <v>47</v>
      </c>
      <c r="D47">
        <f t="shared" si="4"/>
        <v>224000</v>
      </c>
      <c r="E47" t="s">
        <v>19</v>
      </c>
      <c r="F47" t="s">
        <v>47</v>
      </c>
      <c r="G47">
        <f t="shared" si="5"/>
        <v>232000</v>
      </c>
      <c r="H47" t="s">
        <v>31</v>
      </c>
      <c r="I47" t="s">
        <v>48</v>
      </c>
      <c r="J47">
        <f t="shared" si="6"/>
        <v>232000</v>
      </c>
      <c r="K47" t="s">
        <v>31</v>
      </c>
      <c r="L47" t="s">
        <v>48</v>
      </c>
      <c r="M47">
        <f t="shared" si="7"/>
        <v>224000</v>
      </c>
      <c r="N47" t="s">
        <v>19</v>
      </c>
      <c r="O47" t="s">
        <v>47</v>
      </c>
      <c r="P47">
        <f t="shared" si="8"/>
        <v>14</v>
      </c>
      <c r="Q47">
        <v>4</v>
      </c>
    </row>
    <row r="48" spans="1:18" x14ac:dyDescent="0.2">
      <c r="A48">
        <f t="shared" si="3"/>
        <v>228000</v>
      </c>
      <c r="B48" t="s">
        <v>19</v>
      </c>
      <c r="C48" t="s">
        <v>49</v>
      </c>
      <c r="D48">
        <f t="shared" si="4"/>
        <v>228000</v>
      </c>
      <c r="E48" t="s">
        <v>19</v>
      </c>
      <c r="F48" t="s">
        <v>49</v>
      </c>
      <c r="G48">
        <f t="shared" si="5"/>
        <v>236000</v>
      </c>
      <c r="H48" t="s">
        <v>31</v>
      </c>
      <c r="I48" t="s">
        <v>50</v>
      </c>
      <c r="J48">
        <f t="shared" si="6"/>
        <v>236000</v>
      </c>
      <c r="K48" t="s">
        <v>31</v>
      </c>
      <c r="L48" t="s">
        <v>50</v>
      </c>
      <c r="M48">
        <f t="shared" si="7"/>
        <v>228000</v>
      </c>
      <c r="N48" t="s">
        <v>19</v>
      </c>
      <c r="O48" t="s">
        <v>49</v>
      </c>
      <c r="P48">
        <f t="shared" si="8"/>
        <v>15</v>
      </c>
      <c r="Q48">
        <v>2</v>
      </c>
    </row>
    <row r="49" spans="1:17" x14ac:dyDescent="0.2">
      <c r="A49">
        <f t="shared" si="3"/>
        <v>230000</v>
      </c>
      <c r="B49" t="s">
        <v>19</v>
      </c>
      <c r="C49" t="s">
        <v>30</v>
      </c>
      <c r="D49">
        <f t="shared" si="4"/>
        <v>230000</v>
      </c>
      <c r="E49" t="s">
        <v>31</v>
      </c>
      <c r="F49" t="s">
        <v>51</v>
      </c>
      <c r="G49">
        <f t="shared" si="5"/>
        <v>238000</v>
      </c>
      <c r="H49" t="s">
        <v>31</v>
      </c>
      <c r="I49" t="s">
        <v>32</v>
      </c>
      <c r="J49">
        <f t="shared" si="6"/>
        <v>238000</v>
      </c>
      <c r="K49" t="s">
        <v>31</v>
      </c>
      <c r="L49" t="s">
        <v>33</v>
      </c>
      <c r="M49">
        <f t="shared" si="7"/>
        <v>230000</v>
      </c>
      <c r="N49" t="s">
        <v>19</v>
      </c>
      <c r="O49" t="s">
        <v>30</v>
      </c>
      <c r="P49">
        <f t="shared" si="8"/>
        <v>16</v>
      </c>
      <c r="Q49">
        <v>24</v>
      </c>
    </row>
    <row r="50" spans="1:17" x14ac:dyDescent="0.2">
      <c r="D50">
        <f>D49+($S$2*(1-$R$2))</f>
        <v>233950</v>
      </c>
      <c r="E50" t="s">
        <v>19</v>
      </c>
      <c r="F50" t="s">
        <v>52</v>
      </c>
      <c r="G50">
        <f t="shared" ref="G50:G66" si="9">G49+($S$2)</f>
        <v>242000</v>
      </c>
      <c r="H50" t="s">
        <v>19</v>
      </c>
      <c r="I50" t="s">
        <v>34</v>
      </c>
      <c r="J50">
        <f>J49+($S$2*(1+$R$2))</f>
        <v>242050</v>
      </c>
      <c r="K50" t="s">
        <v>19</v>
      </c>
      <c r="L50" t="s">
        <v>35</v>
      </c>
    </row>
    <row r="51" spans="1:17" x14ac:dyDescent="0.2">
      <c r="D51">
        <f>D50+($S$2*(1-$R$2))</f>
        <v>237900</v>
      </c>
      <c r="E51" t="s">
        <v>31</v>
      </c>
      <c r="F51" t="s">
        <v>51</v>
      </c>
      <c r="G51">
        <f t="shared" si="9"/>
        <v>246000</v>
      </c>
      <c r="H51" t="s">
        <v>31</v>
      </c>
      <c r="I51" t="s">
        <v>32</v>
      </c>
      <c r="J51">
        <f t="shared" ref="J51:J70" si="10">J50+($S$2*(1+$R$2))</f>
        <v>246100</v>
      </c>
      <c r="K51" t="s">
        <v>31</v>
      </c>
      <c r="L51" t="s">
        <v>33</v>
      </c>
    </row>
    <row r="52" spans="1:17" x14ac:dyDescent="0.2">
      <c r="D52">
        <f t="shared" ref="D52:D73" si="11">D51+($S$2*(1-$R$2))</f>
        <v>241850</v>
      </c>
      <c r="E52" t="s">
        <v>19</v>
      </c>
      <c r="F52" t="s">
        <v>52</v>
      </c>
      <c r="G52">
        <f t="shared" si="9"/>
        <v>250000</v>
      </c>
      <c r="H52" t="s">
        <v>19</v>
      </c>
      <c r="I52" t="s">
        <v>34</v>
      </c>
      <c r="J52">
        <f t="shared" si="10"/>
        <v>250150</v>
      </c>
      <c r="K52" t="s">
        <v>19</v>
      </c>
      <c r="L52" t="s">
        <v>35</v>
      </c>
    </row>
    <row r="53" spans="1:17" x14ac:dyDescent="0.2">
      <c r="D53">
        <f t="shared" si="11"/>
        <v>245800</v>
      </c>
      <c r="E53" t="s">
        <v>31</v>
      </c>
      <c r="F53" t="s">
        <v>51</v>
      </c>
      <c r="G53">
        <f t="shared" si="9"/>
        <v>254000</v>
      </c>
      <c r="H53" t="s">
        <v>31</v>
      </c>
      <c r="I53" t="s">
        <v>32</v>
      </c>
      <c r="J53">
        <f t="shared" si="10"/>
        <v>254200</v>
      </c>
      <c r="K53" t="s">
        <v>31</v>
      </c>
      <c r="L53" t="s">
        <v>33</v>
      </c>
    </row>
    <row r="54" spans="1:17" x14ac:dyDescent="0.2">
      <c r="D54">
        <f t="shared" si="11"/>
        <v>249750</v>
      </c>
      <c r="E54" t="s">
        <v>19</v>
      </c>
      <c r="F54" t="s">
        <v>52</v>
      </c>
      <c r="G54">
        <f t="shared" si="9"/>
        <v>258000</v>
      </c>
      <c r="H54" t="s">
        <v>19</v>
      </c>
      <c r="I54" t="s">
        <v>34</v>
      </c>
      <c r="J54">
        <f t="shared" si="10"/>
        <v>258250</v>
      </c>
      <c r="K54" t="s">
        <v>19</v>
      </c>
      <c r="L54" t="s">
        <v>35</v>
      </c>
    </row>
    <row r="55" spans="1:17" x14ac:dyDescent="0.2">
      <c r="A55">
        <f>A49+(Q49*1000)-((G54-D55)*0.5)</f>
        <v>251850</v>
      </c>
      <c r="B55" t="s">
        <v>31</v>
      </c>
      <c r="C55" t="s">
        <v>39</v>
      </c>
      <c r="D55">
        <f t="shared" si="11"/>
        <v>253700</v>
      </c>
      <c r="E55" t="s">
        <v>31</v>
      </c>
      <c r="F55" t="s">
        <v>51</v>
      </c>
      <c r="G55">
        <f t="shared" si="9"/>
        <v>262000</v>
      </c>
      <c r="H55" t="s">
        <v>31</v>
      </c>
      <c r="I55" t="s">
        <v>32</v>
      </c>
      <c r="J55">
        <f t="shared" si="10"/>
        <v>262300</v>
      </c>
      <c r="K55" t="s">
        <v>31</v>
      </c>
      <c r="L55" t="s">
        <v>33</v>
      </c>
      <c r="M55">
        <f>M49+($Q49*1000)</f>
        <v>254000</v>
      </c>
      <c r="N55" t="s">
        <v>19</v>
      </c>
      <c r="O55" t="s">
        <v>36</v>
      </c>
      <c r="P55">
        <f>P49+1</f>
        <v>17</v>
      </c>
      <c r="Q55">
        <v>28</v>
      </c>
    </row>
    <row r="56" spans="1:17" x14ac:dyDescent="0.2">
      <c r="D56">
        <f t="shared" si="11"/>
        <v>257650</v>
      </c>
      <c r="E56" t="s">
        <v>19</v>
      </c>
      <c r="F56" t="s">
        <v>52</v>
      </c>
      <c r="G56">
        <f t="shared" si="9"/>
        <v>266000</v>
      </c>
      <c r="H56" t="s">
        <v>19</v>
      </c>
      <c r="I56" t="s">
        <v>34</v>
      </c>
      <c r="J56">
        <f t="shared" si="10"/>
        <v>266350</v>
      </c>
      <c r="K56" t="s">
        <v>19</v>
      </c>
      <c r="L56" t="s">
        <v>35</v>
      </c>
    </row>
    <row r="57" spans="1:17" x14ac:dyDescent="0.2">
      <c r="D57">
        <f t="shared" si="11"/>
        <v>261600</v>
      </c>
      <c r="E57" t="s">
        <v>31</v>
      </c>
      <c r="F57" t="s">
        <v>51</v>
      </c>
      <c r="G57">
        <f t="shared" si="9"/>
        <v>270000</v>
      </c>
      <c r="H57" t="s">
        <v>31</v>
      </c>
      <c r="I57" t="s">
        <v>32</v>
      </c>
      <c r="J57">
        <f t="shared" si="10"/>
        <v>270400</v>
      </c>
      <c r="K57" t="s">
        <v>31</v>
      </c>
      <c r="L57" t="s">
        <v>33</v>
      </c>
    </row>
    <row r="58" spans="1:17" x14ac:dyDescent="0.2">
      <c r="A58">
        <f>G49+($S$2*(1-$R$2*2))*10</f>
        <v>277000</v>
      </c>
      <c r="B58" t="s">
        <v>19</v>
      </c>
      <c r="C58" t="s">
        <v>53</v>
      </c>
      <c r="D58">
        <f t="shared" si="11"/>
        <v>265550</v>
      </c>
      <c r="E58" t="s">
        <v>19</v>
      </c>
      <c r="F58" t="s">
        <v>52</v>
      </c>
      <c r="G58">
        <f t="shared" si="9"/>
        <v>274000</v>
      </c>
      <c r="H58" t="s">
        <v>19</v>
      </c>
      <c r="I58" t="s">
        <v>34</v>
      </c>
      <c r="J58">
        <f t="shared" si="10"/>
        <v>274450</v>
      </c>
      <c r="K58" t="s">
        <v>19</v>
      </c>
      <c r="L58" t="s">
        <v>35</v>
      </c>
    </row>
    <row r="59" spans="1:17" x14ac:dyDescent="0.2">
      <c r="A59">
        <f t="shared" ref="A59:A72" si="12">A58+($S$2*(1-$R$2*2))</f>
        <v>280900</v>
      </c>
      <c r="B59" t="s">
        <v>31</v>
      </c>
      <c r="C59" t="s">
        <v>54</v>
      </c>
      <c r="D59">
        <f t="shared" si="11"/>
        <v>269500</v>
      </c>
      <c r="E59" t="s">
        <v>31</v>
      </c>
      <c r="F59" t="s">
        <v>51</v>
      </c>
      <c r="G59">
        <f t="shared" si="9"/>
        <v>278000</v>
      </c>
      <c r="H59" t="s">
        <v>31</v>
      </c>
      <c r="I59" t="s">
        <v>32</v>
      </c>
      <c r="J59">
        <f t="shared" si="10"/>
        <v>278500</v>
      </c>
      <c r="K59" t="s">
        <v>31</v>
      </c>
      <c r="L59" t="s">
        <v>33</v>
      </c>
    </row>
    <row r="60" spans="1:17" x14ac:dyDescent="0.2">
      <c r="A60">
        <f t="shared" si="12"/>
        <v>284800</v>
      </c>
      <c r="B60" t="s">
        <v>19</v>
      </c>
      <c r="C60" t="s">
        <v>53</v>
      </c>
      <c r="D60">
        <f t="shared" si="11"/>
        <v>273450</v>
      </c>
      <c r="E60" t="s">
        <v>19</v>
      </c>
      <c r="F60" t="s">
        <v>52</v>
      </c>
      <c r="G60">
        <f t="shared" si="9"/>
        <v>282000</v>
      </c>
      <c r="H60" t="s">
        <v>19</v>
      </c>
      <c r="I60" t="s">
        <v>34</v>
      </c>
      <c r="J60">
        <f t="shared" si="10"/>
        <v>282550</v>
      </c>
      <c r="K60" t="s">
        <v>19</v>
      </c>
      <c r="L60" t="s">
        <v>35</v>
      </c>
    </row>
    <row r="61" spans="1:17" x14ac:dyDescent="0.2">
      <c r="A61">
        <f t="shared" si="12"/>
        <v>288700</v>
      </c>
      <c r="B61" t="s">
        <v>31</v>
      </c>
      <c r="C61" t="s">
        <v>54</v>
      </c>
      <c r="D61">
        <f t="shared" si="11"/>
        <v>277400</v>
      </c>
      <c r="E61" t="s">
        <v>31</v>
      </c>
      <c r="F61" t="s">
        <v>51</v>
      </c>
      <c r="G61">
        <f t="shared" si="9"/>
        <v>286000</v>
      </c>
      <c r="H61" t="s">
        <v>31</v>
      </c>
      <c r="I61" t="s">
        <v>32</v>
      </c>
      <c r="J61">
        <f t="shared" si="10"/>
        <v>286600</v>
      </c>
      <c r="K61" t="s">
        <v>31</v>
      </c>
      <c r="L61" t="s">
        <v>33</v>
      </c>
    </row>
    <row r="62" spans="1:17" x14ac:dyDescent="0.2">
      <c r="A62">
        <f t="shared" si="12"/>
        <v>292600</v>
      </c>
      <c r="B62" t="s">
        <v>19</v>
      </c>
      <c r="C62" t="s">
        <v>53</v>
      </c>
      <c r="D62">
        <f t="shared" si="11"/>
        <v>281350</v>
      </c>
      <c r="E62" t="s">
        <v>19</v>
      </c>
      <c r="F62" t="s">
        <v>52</v>
      </c>
      <c r="G62">
        <f t="shared" si="9"/>
        <v>290000</v>
      </c>
      <c r="H62" t="s">
        <v>19</v>
      </c>
      <c r="I62" t="s">
        <v>34</v>
      </c>
      <c r="J62">
        <f t="shared" si="10"/>
        <v>290650</v>
      </c>
      <c r="K62" t="s">
        <v>19</v>
      </c>
      <c r="L62" t="s">
        <v>35</v>
      </c>
      <c r="M62">
        <f>M55+($Q55*1000)</f>
        <v>282000</v>
      </c>
      <c r="N62" t="s">
        <v>19</v>
      </c>
      <c r="O62" t="s">
        <v>55</v>
      </c>
      <c r="P62">
        <f>P55+1</f>
        <v>18</v>
      </c>
      <c r="Q62">
        <v>20</v>
      </c>
    </row>
    <row r="63" spans="1:17" x14ac:dyDescent="0.2">
      <c r="A63">
        <f t="shared" si="12"/>
        <v>296500</v>
      </c>
      <c r="B63" t="s">
        <v>31</v>
      </c>
      <c r="C63" t="s">
        <v>54</v>
      </c>
      <c r="D63">
        <f t="shared" si="11"/>
        <v>285300</v>
      </c>
      <c r="E63" t="s">
        <v>31</v>
      </c>
      <c r="F63" t="s">
        <v>51</v>
      </c>
      <c r="G63">
        <f t="shared" si="9"/>
        <v>294000</v>
      </c>
      <c r="H63" t="s">
        <v>31</v>
      </c>
      <c r="I63" t="s">
        <v>32</v>
      </c>
      <c r="J63">
        <f t="shared" si="10"/>
        <v>294700</v>
      </c>
      <c r="K63" t="s">
        <v>31</v>
      </c>
      <c r="L63" t="s">
        <v>33</v>
      </c>
    </row>
    <row r="64" spans="1:17" x14ac:dyDescent="0.2">
      <c r="A64">
        <f t="shared" si="12"/>
        <v>300400</v>
      </c>
      <c r="B64" t="s">
        <v>19</v>
      </c>
      <c r="C64" t="s">
        <v>53</v>
      </c>
      <c r="D64">
        <f t="shared" si="11"/>
        <v>289250</v>
      </c>
      <c r="E64" t="s">
        <v>19</v>
      </c>
      <c r="F64" t="s">
        <v>52</v>
      </c>
      <c r="G64">
        <f t="shared" si="9"/>
        <v>298000</v>
      </c>
      <c r="H64" t="s">
        <v>19</v>
      </c>
      <c r="I64" t="s">
        <v>34</v>
      </c>
      <c r="J64">
        <f t="shared" si="10"/>
        <v>298750</v>
      </c>
      <c r="K64" t="s">
        <v>19</v>
      </c>
      <c r="L64" t="s">
        <v>35</v>
      </c>
    </row>
    <row r="65" spans="1:17" x14ac:dyDescent="0.2">
      <c r="A65">
        <f t="shared" si="12"/>
        <v>304300</v>
      </c>
      <c r="B65" t="s">
        <v>31</v>
      </c>
      <c r="C65" t="s">
        <v>54</v>
      </c>
      <c r="D65">
        <f t="shared" si="11"/>
        <v>293200</v>
      </c>
      <c r="E65" t="s">
        <v>31</v>
      </c>
      <c r="F65" t="s">
        <v>51</v>
      </c>
      <c r="G65">
        <f t="shared" si="9"/>
        <v>302000</v>
      </c>
      <c r="H65" t="s">
        <v>31</v>
      </c>
      <c r="I65" t="s">
        <v>56</v>
      </c>
      <c r="J65">
        <f t="shared" si="10"/>
        <v>302800</v>
      </c>
      <c r="K65" t="s">
        <v>31</v>
      </c>
      <c r="L65" t="s">
        <v>33</v>
      </c>
    </row>
    <row r="66" spans="1:17" x14ac:dyDescent="0.2">
      <c r="A66">
        <f t="shared" si="12"/>
        <v>308200</v>
      </c>
      <c r="B66" t="s">
        <v>19</v>
      </c>
      <c r="C66" t="s">
        <v>53</v>
      </c>
      <c r="D66">
        <f t="shared" si="11"/>
        <v>297150</v>
      </c>
      <c r="E66" t="s">
        <v>19</v>
      </c>
      <c r="F66" t="s">
        <v>52</v>
      </c>
      <c r="G66">
        <f t="shared" si="9"/>
        <v>306000</v>
      </c>
      <c r="H66" t="s">
        <v>19</v>
      </c>
      <c r="I66" t="s">
        <v>43</v>
      </c>
      <c r="J66">
        <f t="shared" si="10"/>
        <v>306850</v>
      </c>
      <c r="K66" t="s">
        <v>19</v>
      </c>
      <c r="L66" t="s">
        <v>35</v>
      </c>
    </row>
    <row r="67" spans="1:17" x14ac:dyDescent="0.2">
      <c r="A67">
        <f t="shared" si="12"/>
        <v>312100</v>
      </c>
      <c r="B67" t="s">
        <v>31</v>
      </c>
      <c r="C67" t="s">
        <v>54</v>
      </c>
      <c r="D67">
        <f t="shared" si="11"/>
        <v>301100</v>
      </c>
      <c r="E67" t="s">
        <v>31</v>
      </c>
      <c r="F67" t="s">
        <v>51</v>
      </c>
      <c r="G67">
        <f>G66+($S$2)</f>
        <v>310000</v>
      </c>
      <c r="H67" t="s">
        <v>59</v>
      </c>
      <c r="I67" t="s">
        <v>70</v>
      </c>
      <c r="J67">
        <f t="shared" si="10"/>
        <v>310900</v>
      </c>
      <c r="K67" t="s">
        <v>31</v>
      </c>
      <c r="L67" t="s">
        <v>33</v>
      </c>
      <c r="M67">
        <f>M62+($Q62*1000)</f>
        <v>302000</v>
      </c>
      <c r="N67" t="s">
        <v>19</v>
      </c>
      <c r="O67" t="s">
        <v>41</v>
      </c>
      <c r="P67">
        <f>P62+1</f>
        <v>19</v>
      </c>
      <c r="Q67">
        <v>10</v>
      </c>
    </row>
    <row r="68" spans="1:17" x14ac:dyDescent="0.2">
      <c r="A68">
        <f t="shared" si="12"/>
        <v>316000</v>
      </c>
      <c r="B68" t="s">
        <v>19</v>
      </c>
      <c r="C68" t="s">
        <v>53</v>
      </c>
      <c r="D68">
        <f t="shared" si="11"/>
        <v>305050</v>
      </c>
      <c r="E68" t="s">
        <v>19</v>
      </c>
      <c r="F68" t="s">
        <v>52</v>
      </c>
      <c r="J68">
        <f t="shared" si="10"/>
        <v>314950</v>
      </c>
      <c r="K68" t="s">
        <v>19</v>
      </c>
      <c r="L68" t="s">
        <v>35</v>
      </c>
    </row>
    <row r="69" spans="1:17" x14ac:dyDescent="0.2">
      <c r="A69">
        <f t="shared" si="12"/>
        <v>319900</v>
      </c>
      <c r="B69" t="s">
        <v>31</v>
      </c>
      <c r="C69" t="s">
        <v>54</v>
      </c>
      <c r="D69">
        <f t="shared" si="11"/>
        <v>309000</v>
      </c>
      <c r="E69" t="s">
        <v>31</v>
      </c>
      <c r="F69" t="s">
        <v>51</v>
      </c>
      <c r="G69">
        <f>G67+$Q67*1000</f>
        <v>320000</v>
      </c>
      <c r="H69" t="s">
        <v>59</v>
      </c>
      <c r="I69" t="s">
        <v>70</v>
      </c>
      <c r="J69">
        <f t="shared" si="10"/>
        <v>319000</v>
      </c>
      <c r="K69" t="s">
        <v>31</v>
      </c>
      <c r="L69" t="s">
        <v>33</v>
      </c>
      <c r="M69">
        <f>M67+($Q67*1000)</f>
        <v>312000</v>
      </c>
      <c r="N69" t="s">
        <v>19</v>
      </c>
      <c r="O69" t="s">
        <v>57</v>
      </c>
      <c r="P69">
        <f>P67+1</f>
        <v>20</v>
      </c>
      <c r="Q69">
        <v>15</v>
      </c>
    </row>
    <row r="70" spans="1:17" x14ac:dyDescent="0.2">
      <c r="A70">
        <f t="shared" si="12"/>
        <v>323800</v>
      </c>
      <c r="B70" t="s">
        <v>19</v>
      </c>
      <c r="C70" t="s">
        <v>53</v>
      </c>
      <c r="D70">
        <f t="shared" si="11"/>
        <v>312950</v>
      </c>
      <c r="E70" t="s">
        <v>19</v>
      </c>
      <c r="F70" t="s">
        <v>52</v>
      </c>
      <c r="J70">
        <f t="shared" si="10"/>
        <v>323050</v>
      </c>
      <c r="K70" t="s">
        <v>19</v>
      </c>
      <c r="L70" t="s">
        <v>43</v>
      </c>
    </row>
    <row r="71" spans="1:17" x14ac:dyDescent="0.2">
      <c r="A71">
        <f t="shared" si="12"/>
        <v>327700</v>
      </c>
      <c r="B71" t="s">
        <v>31</v>
      </c>
      <c r="C71" t="s">
        <v>58</v>
      </c>
      <c r="D71">
        <f t="shared" si="11"/>
        <v>316900</v>
      </c>
      <c r="E71" t="s">
        <v>31</v>
      </c>
      <c r="F71" t="s">
        <v>51</v>
      </c>
      <c r="J71">
        <f>J70+($S$2*(1+$R$2))</f>
        <v>327100</v>
      </c>
      <c r="K71" t="s">
        <v>59</v>
      </c>
      <c r="L71" t="s">
        <v>70</v>
      </c>
    </row>
    <row r="72" spans="1:17" x14ac:dyDescent="0.2">
      <c r="A72">
        <f t="shared" si="12"/>
        <v>331600</v>
      </c>
      <c r="B72" t="s">
        <v>59</v>
      </c>
      <c r="C72" t="s">
        <v>70</v>
      </c>
      <c r="D72">
        <f t="shared" si="11"/>
        <v>320850</v>
      </c>
      <c r="E72" t="s">
        <v>19</v>
      </c>
      <c r="F72" t="s">
        <v>52</v>
      </c>
    </row>
    <row r="73" spans="1:17" x14ac:dyDescent="0.2">
      <c r="D73">
        <f t="shared" si="11"/>
        <v>324800</v>
      </c>
      <c r="E73" t="s">
        <v>59</v>
      </c>
      <c r="F73" t="s">
        <v>70</v>
      </c>
    </row>
    <row r="74" spans="1:17" x14ac:dyDescent="0.2">
      <c r="A74">
        <f>$M74</f>
        <v>327000</v>
      </c>
      <c r="B74" t="s">
        <v>59</v>
      </c>
      <c r="C74" t="s">
        <v>70</v>
      </c>
      <c r="D74">
        <f>$M74</f>
        <v>327000</v>
      </c>
      <c r="E74" t="s">
        <v>59</v>
      </c>
      <c r="F74" t="s">
        <v>70</v>
      </c>
      <c r="G74">
        <f>$M74</f>
        <v>327000</v>
      </c>
      <c r="H74" t="s">
        <v>61</v>
      </c>
      <c r="I74" t="s">
        <v>71</v>
      </c>
      <c r="J74">
        <f>$M74</f>
        <v>327000</v>
      </c>
      <c r="K74" t="s">
        <v>59</v>
      </c>
      <c r="L74" t="s">
        <v>70</v>
      </c>
      <c r="M74">
        <f>M69+($Q69*1000)</f>
        <v>327000</v>
      </c>
      <c r="N74" t="s">
        <v>19</v>
      </c>
      <c r="O74" t="s">
        <v>60</v>
      </c>
      <c r="P74">
        <f>P69+1</f>
        <v>21</v>
      </c>
      <c r="Q74">
        <v>40</v>
      </c>
    </row>
    <row r="83" spans="1:17" x14ac:dyDescent="0.2">
      <c r="A83">
        <f>$M83</f>
        <v>367000</v>
      </c>
      <c r="B83" t="s">
        <v>59</v>
      </c>
      <c r="C83" t="s">
        <v>70</v>
      </c>
      <c r="D83">
        <f>$M83</f>
        <v>367000</v>
      </c>
      <c r="E83" t="s">
        <v>59</v>
      </c>
      <c r="F83" t="s">
        <v>70</v>
      </c>
      <c r="G83">
        <f>$M83</f>
        <v>367000</v>
      </c>
      <c r="H83" t="s">
        <v>61</v>
      </c>
      <c r="I83" t="s">
        <v>71</v>
      </c>
      <c r="J83">
        <f>$M83</f>
        <v>367000</v>
      </c>
      <c r="K83" t="s">
        <v>61</v>
      </c>
      <c r="L83" t="s">
        <v>71</v>
      </c>
      <c r="M83">
        <f>M74+($Q74*1000)</f>
        <v>367000</v>
      </c>
      <c r="N83" t="s">
        <v>19</v>
      </c>
      <c r="O83" t="s">
        <v>43</v>
      </c>
      <c r="P83">
        <f>P74+1</f>
        <v>22</v>
      </c>
      <c r="Q83">
        <v>5</v>
      </c>
    </row>
    <row r="84" spans="1:17" x14ac:dyDescent="0.2">
      <c r="D84">
        <f>((D85-D83)/2)+D83</f>
        <v>369500</v>
      </c>
      <c r="E84" t="s">
        <v>61</v>
      </c>
    </row>
    <row r="85" spans="1:17" x14ac:dyDescent="0.2">
      <c r="A85">
        <f>$M85</f>
        <v>372000</v>
      </c>
      <c r="B85" t="s">
        <v>61</v>
      </c>
      <c r="C85" t="s">
        <v>71</v>
      </c>
      <c r="D85">
        <f>$M85</f>
        <v>372000</v>
      </c>
      <c r="E85" t="s">
        <v>61</v>
      </c>
      <c r="F85" t="s">
        <v>71</v>
      </c>
      <c r="G85">
        <f>$M85</f>
        <v>372000</v>
      </c>
      <c r="H85" t="s">
        <v>61</v>
      </c>
      <c r="I85" t="s">
        <v>71</v>
      </c>
      <c r="J85">
        <f>$M85</f>
        <v>372000</v>
      </c>
      <c r="K85" t="s">
        <v>61</v>
      </c>
      <c r="L85" t="s">
        <v>71</v>
      </c>
      <c r="M85">
        <f>M83+($Q83*1000)</f>
        <v>372000</v>
      </c>
      <c r="N85" t="s">
        <v>19</v>
      </c>
      <c r="O85" t="s">
        <v>66</v>
      </c>
      <c r="P85">
        <f>P83+1</f>
        <v>23</v>
      </c>
      <c r="Q85">
        <v>210</v>
      </c>
    </row>
    <row r="86" spans="1:17" x14ac:dyDescent="0.2">
      <c r="A86">
        <f>A85+($Q85*1000)</f>
        <v>582000</v>
      </c>
      <c r="B86" t="s">
        <v>19</v>
      </c>
      <c r="C86" t="s">
        <v>67</v>
      </c>
      <c r="D86">
        <f>D85+($Q85*1000)</f>
        <v>582000</v>
      </c>
      <c r="E86" t="s">
        <v>19</v>
      </c>
      <c r="F86" t="s">
        <v>67</v>
      </c>
      <c r="G86">
        <f>G85+($Q85*1000)</f>
        <v>582000</v>
      </c>
      <c r="H86" t="s">
        <v>19</v>
      </c>
      <c r="I86" t="s">
        <v>67</v>
      </c>
      <c r="J86">
        <f>J85+($Q85*1000)</f>
        <v>582000</v>
      </c>
      <c r="K86" t="s">
        <v>19</v>
      </c>
      <c r="L86" t="s">
        <v>67</v>
      </c>
      <c r="M86">
        <f>M85+($Q85*1000)</f>
        <v>582000</v>
      </c>
      <c r="N86" t="s">
        <v>19</v>
      </c>
      <c r="O86" t="s">
        <v>67</v>
      </c>
      <c r="P86">
        <f>P85+1</f>
        <v>24</v>
      </c>
      <c r="Q86">
        <v>210</v>
      </c>
    </row>
    <row r="87" spans="1:17" x14ac:dyDescent="0.2">
      <c r="A87">
        <f>A86+($Q86*1000)</f>
        <v>792000</v>
      </c>
      <c r="B87" t="s">
        <v>68</v>
      </c>
      <c r="C87" t="s">
        <v>65</v>
      </c>
      <c r="D87">
        <f>D86+($Q86*1000)</f>
        <v>792000</v>
      </c>
      <c r="E87" t="s">
        <v>68</v>
      </c>
      <c r="F87" t="s">
        <v>65</v>
      </c>
      <c r="G87">
        <f>G86+($Q86*1000)</f>
        <v>792000</v>
      </c>
      <c r="H87" t="s">
        <v>68</v>
      </c>
      <c r="I87" t="s">
        <v>65</v>
      </c>
      <c r="J87">
        <f>J86+($Q86*1000)</f>
        <v>792000</v>
      </c>
      <c r="K87" t="s">
        <v>68</v>
      </c>
      <c r="L87" t="s">
        <v>65</v>
      </c>
      <c r="M87">
        <f>M86+($Q86*1000)</f>
        <v>792000</v>
      </c>
      <c r="N87" t="s">
        <v>68</v>
      </c>
      <c r="O87" t="s">
        <v>65</v>
      </c>
      <c r="P87">
        <f>P86+1</f>
        <v>25</v>
      </c>
      <c r="Q87">
        <v>20</v>
      </c>
    </row>
    <row r="88" spans="1:17" x14ac:dyDescent="0.2">
      <c r="A88">
        <f>A87+($Q87*1000)</f>
        <v>812000</v>
      </c>
      <c r="B88" t="s">
        <v>19</v>
      </c>
      <c r="C88" t="s">
        <v>64</v>
      </c>
      <c r="D88">
        <f>D87+($Q87*1000)</f>
        <v>812000</v>
      </c>
      <c r="E88" t="s">
        <v>19</v>
      </c>
      <c r="F88" t="s">
        <v>64</v>
      </c>
      <c r="G88">
        <f>G87+($Q87*1000)</f>
        <v>812000</v>
      </c>
      <c r="H88" t="s">
        <v>19</v>
      </c>
      <c r="I88" t="s">
        <v>64</v>
      </c>
      <c r="J88">
        <f>J87+($Q87*1000)</f>
        <v>812000</v>
      </c>
      <c r="K88" t="s">
        <v>19</v>
      </c>
      <c r="L88" t="s">
        <v>64</v>
      </c>
      <c r="M88">
        <f>M87+($Q87*1000)</f>
        <v>812000</v>
      </c>
      <c r="N88" t="s">
        <v>19</v>
      </c>
      <c r="O88" t="s">
        <v>64</v>
      </c>
      <c r="P88">
        <f>P87+1</f>
        <v>26</v>
      </c>
      <c r="Q88">
        <v>10000</v>
      </c>
    </row>
  </sheetData>
  <conditionalFormatting sqref="A1:XFD1048576">
    <cfRule type="containsText" dxfId="0" priority="1" operator="containsText" text="bacon">
      <formula>NOT(ISERROR(SEARCH("bacon",A1)))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L. Woo Snyder</cp:lastModifiedBy>
  <dcterms:created xsi:type="dcterms:W3CDTF">2026-04-22T19:33:42Z</dcterms:created>
  <dcterms:modified xsi:type="dcterms:W3CDTF">2026-04-24T04:17:31Z</dcterms:modified>
</cp:coreProperties>
</file>